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Mis Hábitos" sheetId="3" state="visible" r:id="rId5"/>
    <sheet name="Enero" sheetId="4" state="visible" r:id="rId6"/>
    <sheet name="Febrero" sheetId="5" state="visible" r:id="rId7"/>
    <sheet name="Marzo" sheetId="6" state="visible" r:id="rId8"/>
    <sheet name="Abril" sheetId="7" state="visible" r:id="rId9"/>
    <sheet name="Mayo" sheetId="8" state="visible" r:id="rId10"/>
    <sheet name="Junio" sheetId="9" state="visible" r:id="rId11"/>
    <sheet name="Julio" sheetId="10" state="visible" r:id="rId12"/>
    <sheet name="Agosto" sheetId="11" state="visible" r:id="rId13"/>
    <sheet name="Septiembre" sheetId="12" state="visible" r:id="rId14"/>
    <sheet name="Octubre" sheetId="13" state="visible" r:id="rId15"/>
    <sheet name="Noviembre" sheetId="14" state="visible" r:id="rId16"/>
    <sheet name="Diciembre" sheetId="15" state="visible" r:id="rId17"/>
    <sheet name="Año" sheetId="16" state="visible" r:id="rId18"/>
    <sheet name="Lista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Escribe el hábito lo más pequeño y concreto posible.
«Leer 10 páginas» se cumple; «leer más» no se puede marcar.</t>
        </r>
      </text>
    </comment>
    <comment ref="G6" authorId="0">
      <text>
        <r>
          <rPr>
            <sz val="10"/>
            <rFont val="Arial"/>
            <family val="2"/>
          </rPr>
          <t xml:space="preserve">El hábito nuevo se sostiene mejor si se engancha a algo que ya haces.
Ejemplo: «después de servirme el café de la mañana».</t>
        </r>
      </text>
    </comment>
  </commentList>
</comments>
</file>

<file path=xl/sharedStrings.xml><?xml version="1.0" encoding="utf-8"?>
<sst xmlns="http://schemas.openxmlformats.org/spreadsheetml/2006/main" count="670" uniqueCount="154">
  <si>
    <t xml:space="preserve">S E G U I M I E N T O   P E R S O N A L</t>
  </si>
  <si>
    <t xml:space="preserve">Hábitos</t>
  </si>
  <si>
    <t xml:space="preserve">Doce meses, una marca por día, cero adivinanzas</t>
  </si>
  <si>
    <t xml:space="preserve">Jesús González   ·   https://jesus-site-silk.vercel.app/</t>
  </si>
  <si>
    <t xml:space="preserve">CÓMO ESTÁ ORGANIZADO</t>
  </si>
  <si>
    <t xml:space="preserve">Resumen</t>
  </si>
  <si>
    <t xml:space="preserve">El mes en curso, con días cumplidos y porcentaje de logro.</t>
  </si>
  <si>
    <t xml:space="preserve">Mis Hábitos</t>
  </si>
  <si>
    <t xml:space="preserve">Define aquí qué vas a seguir. Empieza por esta hoja.</t>
  </si>
  <si>
    <t xml:space="preserve">Enero … Diciembre</t>
  </si>
  <si>
    <t xml:space="preserve">Una hoja por mes con la cuadrícula de días. Aquí marcas.</t>
  </si>
  <si>
    <t xml:space="preserve">Año</t>
  </si>
  <si>
    <t xml:space="preserve">Los doce meses lado a lado y el espacio de revisión mensual.</t>
  </si>
  <si>
    <t xml:space="preserve">Listas</t>
  </si>
  <si>
    <t xml:space="preserve">Catálogos de áreas, frecuencias y momentos del día.</t>
  </si>
  <si>
    <t xml:space="preserve">CÓMO SE MARCA</t>
  </si>
  <si>
    <t xml:space="preserve">x</t>
  </si>
  <si>
    <t xml:space="preserve">Cumpliste. La celda se pone verde.</t>
  </si>
  <si>
    <t xml:space="preserve">-</t>
  </si>
  <si>
    <t xml:space="preserve">Ese día no aplicaba (viaje, enfermedad, día de descanso planeado). No cuenta en contra.</t>
  </si>
  <si>
    <t xml:space="preserve">vacío</t>
  </si>
  <si>
    <t xml:space="preserve">No se cumplió. Sin drama: la casilla vacía es información, no un reproche.</t>
  </si>
  <si>
    <t xml:space="preserve">CUATRO IDEAS QUE HACEN QUE ESTO FUNCIONE</t>
  </si>
  <si>
    <t xml:space="preserve">Empieza ridículamente pequeño</t>
  </si>
  <si>
    <t xml:space="preserve">«Diez páginas» en lugar de «leer más». Un hábito que puedes cumplir en un mal día es un hábito que sobrevive. Siempre puedes hacer de más; no siempre puedes empezar.</t>
  </si>
  <si>
    <t xml:space="preserve">Engánchalo a algo que ya haces</t>
  </si>
  <si>
    <t xml:space="preserve">La columna de detonante existe por eso. «Después de servirme el café» funciona mejor que «a las 7:00», porque el café ya está en tu día y la hora no.</t>
  </si>
  <si>
    <t xml:space="preserve">Nunca falles dos veces seguidas</t>
  </si>
  <si>
    <t xml:space="preserve">Un día perdido es un accidente; dos son el inicio de otro hábito. La racha no es el objetivo, pero volver al día siguiente sí lo es.</t>
  </si>
  <si>
    <t xml:space="preserve">Cinco hábitos, no doce</t>
  </si>
  <si>
    <t xml:space="preserve">Hay doce filas porque a lo largo del año algunos entran y otros salen. Llevar doce al mismo tiempo es la forma más confiable de abandonar todos en marzo.</t>
  </si>
  <si>
    <t xml:space="preserve">El porcentaje de logro es información para ajustar, no una calificación. Un 70% sostenido durante un año supera a un 100% que dura tres semanas.</t>
  </si>
  <si>
    <t xml:space="preserve">RESUMEN DEL MES EN CURSO</t>
  </si>
  <si>
    <t xml:space="preserve">Cambia el mes en la celda amarilla y todos los indicadores se recalculan.</t>
  </si>
  <si>
    <t xml:space="preserve">Mes que quiero ver:</t>
  </si>
  <si>
    <t xml:space="preserve">Julio</t>
  </si>
  <si>
    <t xml:space="preserve">PANORAMA</t>
  </si>
  <si>
    <t xml:space="preserve">HÁBITOS DEFINIDOS</t>
  </si>
  <si>
    <t xml:space="preserve">ACTIVOS</t>
  </si>
  <si>
    <t xml:space="preserve">EN PAUSA</t>
  </si>
  <si>
    <t xml:space="preserve">DETALLE DEL MES SELECCIONADO</t>
  </si>
  <si>
    <t xml:space="preserve">Hábito</t>
  </si>
  <si>
    <t xml:space="preserve">Días cumplidos</t>
  </si>
  <si>
    <t xml:space="preserve">Meta del mes</t>
  </si>
  <si>
    <t xml:space="preserve">% Logro</t>
  </si>
  <si>
    <t xml:space="preserve">La racha máxima de cada hábito se ve en la hoja del mes correspondiente.</t>
  </si>
  <si>
    <t xml:space="preserve">MIS HÁBITOS</t>
  </si>
  <si>
    <t xml:space="preserve">Define aquí qué vas a seguir. Los nombres se copian solos a las hojas de cada mes.</t>
  </si>
  <si>
    <t xml:space="preserve">#</t>
  </si>
  <si>
    <t xml:space="preserve">Área</t>
  </si>
  <si>
    <t xml:space="preserve">Frecuencia</t>
  </si>
  <si>
    <t xml:space="preserve">Momento</t>
  </si>
  <si>
    <t xml:space="preserve">Meta semanal</t>
  </si>
  <si>
    <t xml:space="preserve">Detonante (después de…)</t>
  </si>
  <si>
    <t xml:space="preserve">Por qué me importa</t>
  </si>
  <si>
    <t xml:space="preserve">Estado</t>
  </si>
  <si>
    <t xml:space="preserve">Leer 10 páginas</t>
  </si>
  <si>
    <t xml:space="preserve">Aprendizaje</t>
  </si>
  <si>
    <t xml:space="preserve">Todos los días</t>
  </si>
  <si>
    <t xml:space="preserve">Noche</t>
  </si>
  <si>
    <t xml:space="preserve">después de cenar</t>
  </si>
  <si>
    <t xml:space="preserve">Quiero terminar 12 libros este año</t>
  </si>
  <si>
    <t xml:space="preserve">Activo</t>
  </si>
  <si>
    <t xml:space="preserve">Caminar 30 minutos</t>
  </si>
  <si>
    <t xml:space="preserve">Salud</t>
  </si>
  <si>
    <t xml:space="preserve">5 por semana</t>
  </si>
  <si>
    <t xml:space="preserve">Mañana</t>
  </si>
  <si>
    <t xml:space="preserve">después de dejar a los niños</t>
  </si>
  <si>
    <t xml:space="preserve">Me despeja la cabeza antes de trabajar</t>
  </si>
  <si>
    <t xml:space="preserve">Revisar pendientes de la semana</t>
  </si>
  <si>
    <t xml:space="preserve">Trabajo</t>
  </si>
  <si>
    <t xml:space="preserve">1 por semana</t>
  </si>
  <si>
    <t xml:space="preserve">Tarde</t>
  </si>
  <si>
    <t xml:space="preserve">después de la comida del viernes</t>
  </si>
  <si>
    <t xml:space="preserve">Empezar el lunes sin caos</t>
  </si>
  <si>
    <t xml:space="preserve">Practicar guitarra 15 minutos</t>
  </si>
  <si>
    <t xml:space="preserve">Creatividad</t>
  </si>
  <si>
    <t xml:space="preserve">3 por semana</t>
  </si>
  <si>
    <t xml:space="preserve">después de guardar la computadora</t>
  </si>
  <si>
    <t xml:space="preserve">Es lo único que hago solo por gusto</t>
  </si>
  <si>
    <t xml:space="preserve">Menos es más: cinco hábitos que sostienes valen más que doce que abandonas en marzo.</t>
  </si>
  <si>
    <t xml:space="preserve">ENERO 2026</t>
  </si>
  <si>
    <t xml:space="preserve">Marca con una X cada día que cumpliste. Todo lo demás se calcula solo.</t>
  </si>
  <si>
    <t xml:space="preserve">J</t>
  </si>
  <si>
    <t xml:space="preserve">V</t>
  </si>
  <si>
    <t xml:space="preserve">S</t>
  </si>
  <si>
    <t xml:space="preserve">D</t>
  </si>
  <si>
    <t xml:space="preserve">L</t>
  </si>
  <si>
    <t xml:space="preserve">M</t>
  </si>
  <si>
    <t xml:space="preserve">Meta</t>
  </si>
  <si>
    <t xml:space="preserve">Hechos</t>
  </si>
  <si>
    <t xml:space="preserve">Meta mes</t>
  </si>
  <si>
    <t xml:space="preserve">Racha máx.</t>
  </si>
  <si>
    <t xml:space="preserve">Cumplidos del día</t>
  </si>
  <si>
    <t xml:space="preserve">x = cumplido    ·    - = no aplicaba ese día    ·    vacío = no se cumplió        La columna del día de hoy aparece con borde naranja.</t>
  </si>
  <si>
    <t xml:space="preserve">FEBRERO 2026</t>
  </si>
  <si>
    <t xml:space="preserve">MARZO 2026</t>
  </si>
  <si>
    <t xml:space="preserve">ABRIL 2026</t>
  </si>
  <si>
    <t xml:space="preserve">MAYO 2026</t>
  </si>
  <si>
    <t xml:space="preserve">JUNIO 2026</t>
  </si>
  <si>
    <t xml:space="preserve">JULIO 2026</t>
  </si>
  <si>
    <t xml:space="preserve">AGOSTO 2026</t>
  </si>
  <si>
    <t xml:space="preserve">SEPTIEMBRE 2026</t>
  </si>
  <si>
    <t xml:space="preserve">OCTUBRE 2026</t>
  </si>
  <si>
    <t xml:space="preserve">NOVIEMBRE 2026</t>
  </si>
  <si>
    <t xml:space="preserve">DICIEMBRE 2026</t>
  </si>
  <si>
    <t xml:space="preserve">VISTA DEL AÑO</t>
  </si>
  <si>
    <t xml:space="preserve">Resumen de los doce meses. Se llena solo desde cada hoja mensual.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</si>
  <si>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</si>
  <si>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</si>
  <si>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</si>
  <si>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</si>
  <si>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</si>
  <si>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</si>
  <si>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</si>
  <si>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</si>
  <si>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</si>
  <si>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</si>
  <si>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</si>
  <si>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</si>
  <si>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</si>
  <si>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% Año</t>
  </si>
  <si>
    <t xml:space="preserve">El color de cada celda compara los meses entre sí: entre más oscuro, más días cumplidos.</t>
  </si>
  <si>
    <t xml:space="preserve">REVISIÓN MENSUAL — 10 MINUTOS AL CIERRE DE CADA MES</t>
  </si>
  <si>
    <t xml:space="preserve">Mes</t>
  </si>
  <si>
    <t xml:space="preserve">Qué funcionó</t>
  </si>
  <si>
    <t xml:space="preserve">Qué estorbó</t>
  </si>
  <si>
    <t xml:space="preserve">Qué ajusto el próximo mes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</si>
  <si>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</si>
  <si>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</si>
  <si>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</si>
  <si>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</si>
  <si>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</si>
  <si>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</si>
  <si>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</si>
  <si>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</si>
  <si>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</si>
  <si>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</si>
  <si>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</si>
  <si>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LISTAS Y CATÁLOGOS</t>
  </si>
  <si>
    <t xml:space="preserve">Los catálogos que alimentan los desplegables. La columna Meses la usa el Resumen.</t>
  </si>
  <si>
    <t xml:space="preserve">Agrega valores debajo de cada catálogo (hasta la fila 30).</t>
  </si>
  <si>
    <t xml:space="preserve">Meses</t>
  </si>
  <si>
    <t xml:space="preserve">Al despertar</t>
  </si>
  <si>
    <t xml:space="preserve">Días hábiles</t>
  </si>
  <si>
    <t xml:space="preserve">En pausa</t>
  </si>
  <si>
    <t xml:space="preserve">Mediodía</t>
  </si>
  <si>
    <t xml:space="preserve">Retirado</t>
  </si>
  <si>
    <t xml:space="preserve">Relaciones</t>
  </si>
  <si>
    <t xml:space="preserve">2 por semana</t>
  </si>
  <si>
    <t xml:space="preserve">Finanzas</t>
  </si>
  <si>
    <t xml:space="preserve">Cualquier hora</t>
  </si>
  <si>
    <t xml:space="preserve">Casa</t>
  </si>
  <si>
    <t xml:space="preserve">Descanso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</si>
</sst>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8C9AA4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i val="true"/>
      <sz val="11"/>
      <color rgb="FFC6CFD5"/>
      <name val="Arial"/>
      <family val="0"/>
      <charset val="1"/>
    </font>
    <font>
      <b val="true"/>
      <sz val="9"/>
      <color rgb="FFB0611C"/>
      <name val="Arial"/>
      <family val="0"/>
      <charset val="1"/>
    </font>
    <font>
      <b val="true"/>
      <sz val="9.5"/>
      <color rgb="FFB0611C"/>
      <name val="Arial"/>
      <family val="0"/>
      <charset val="1"/>
    </font>
    <font>
      <sz val="9"/>
      <color rgb="FF1B2A36"/>
      <name val="Arial"/>
      <family val="0"/>
      <charset val="1"/>
    </font>
    <font>
      <b val="true"/>
      <sz val="10"/>
      <color rgb="FFB0611C"/>
      <name val="Arial"/>
      <family val="0"/>
      <charset val="1"/>
    </font>
    <font>
      <b val="true"/>
      <sz val="9"/>
      <color rgb="FF1B2A36"/>
      <name val="Arial"/>
      <family val="0"/>
      <charset val="1"/>
    </font>
    <font>
      <i val="true"/>
      <sz val="9"/>
      <color rgb="FF1B2A3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b val="true"/>
      <sz val="9"/>
      <color rgb="FF0000CC"/>
      <name val="Arial"/>
      <family val="0"/>
      <charset val="1"/>
    </font>
    <font>
      <b val="true"/>
      <sz val="20"/>
      <color rgb="FF1B2A3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.5"/>
      <color rgb="FF6E7C86"/>
      <name val="Arial"/>
      <family val="0"/>
      <charset val="1"/>
    </font>
    <font>
      <sz val="9"/>
      <color rgb="FF0000CC"/>
      <name val="Arial"/>
      <family val="0"/>
      <charset val="1"/>
    </font>
    <font>
      <sz val="10"/>
      <name val="Arial"/>
      <family val="2"/>
    </font>
    <font>
      <b val="true"/>
      <sz val="6.5"/>
      <color rgb="FF6E7C86"/>
      <name val="Arial"/>
      <family val="0"/>
      <charset val="1"/>
    </font>
    <font>
      <b val="true"/>
      <sz val="6.5"/>
      <color rgb="FFB0611C"/>
      <name val="Arial"/>
      <family val="0"/>
      <charset val="1"/>
    </font>
    <font>
      <sz val="8"/>
      <color rgb="FF6E7C86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i val="true"/>
      <sz val="8"/>
      <color rgb="FF6E7C86"/>
      <name val="Arial"/>
      <family val="0"/>
      <charset val="1"/>
    </font>
    <font>
      <sz val="7.5"/>
      <color rgb="FF6E7C86"/>
      <name val="Arial"/>
      <family val="0"/>
      <charset val="1"/>
    </font>
    <font>
      <sz val="6"/>
      <color rgb="FF6E7C86"/>
      <name val="Arial"/>
      <family val="0"/>
      <charset val="1"/>
    </font>
    <font>
      <sz val="8.5"/>
      <color rgb="FF1B2A3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36"/>
        <bgColor rgb="FF2E4150"/>
      </patternFill>
    </fill>
    <fill>
      <patternFill patternType="solid">
        <fgColor rgb="FFF0E2D3"/>
        <bgColor rgb="FFE7E3DA"/>
      </patternFill>
    </fill>
    <fill>
      <patternFill patternType="solid">
        <fgColor rgb="FFE7E3DA"/>
        <bgColor rgb="FFF0E2D3"/>
      </patternFill>
    </fill>
    <fill>
      <patternFill patternType="solid">
        <fgColor rgb="FFB0611C"/>
        <bgColor rgb="FF993300"/>
      </patternFill>
    </fill>
    <fill>
      <patternFill patternType="solid">
        <fgColor rgb="FF2E4150"/>
        <bgColor rgb="FF1B2A36"/>
      </patternFill>
    </fill>
    <fill>
      <patternFill patternType="solid">
        <fgColor rgb="FFFFF9E3"/>
        <bgColor rgb="FFFBEEDF"/>
      </patternFill>
    </fill>
    <fill>
      <patternFill patternType="solid">
        <fgColor rgb="FF2F6B4F"/>
        <bgColor rgb="FF2E4150"/>
      </patternFill>
    </fill>
    <fill>
      <patternFill patternType="solid">
        <fgColor rgb="FFF3F1EC"/>
        <bgColor rgb="FFFBEED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C9C3B8"/>
      </left>
      <right style="thin">
        <color rgb="FFC9C3B8"/>
      </right>
      <top style="thin">
        <color rgb="FFC9C3B8"/>
      </top>
      <bottom style="thin">
        <color rgb="FFC9C3B8"/>
      </bottom>
      <diagonal/>
    </border>
    <border diagonalUp="false" diagonalDown="false">
      <left style="thin">
        <color rgb="FFC9C3B8"/>
      </left>
      <right/>
      <top style="thin">
        <color rgb="FFC9C3B8"/>
      </top>
      <bottom style="thin">
        <color rgb="FFC9C3B8"/>
      </bottom>
      <diagonal/>
    </border>
    <border diagonalUp="false" diagonalDown="false">
      <left style="thin">
        <color rgb="FFC9C3B8"/>
      </left>
      <right style="thin">
        <color rgb="FFC9C3B8"/>
      </right>
      <top/>
      <bottom style="thin">
        <color rgb="FFC9C3B8"/>
      </bottom>
      <diagonal/>
    </border>
    <border diagonalUp="false" diagonalDown="false">
      <left style="thin">
        <color rgb="FFC9C3B8"/>
      </left>
      <right style="thin">
        <color rgb="FFC9C3B8"/>
      </right>
      <top style="medium">
        <color rgb="FF1B2A36"/>
      </top>
      <bottom style="medium">
        <color rgb="FF1B2A36"/>
      </bottom>
      <diagonal/>
    </border>
    <border diagonalUp="false" diagonalDown="false">
      <left style="hair">
        <color rgb="FFC9C3B8"/>
      </left>
      <right style="hair">
        <color rgb="FFC9C3B8"/>
      </right>
      <top style="medium">
        <color rgb="FF1B2A36"/>
      </top>
      <bottom style="medium">
        <color rgb="FF1B2A36"/>
      </bottom>
      <diagonal/>
    </border>
    <border diagonalUp="false" diagonalDown="false">
      <left style="hair">
        <color rgb="FFC9C3B8"/>
      </left>
      <right style="hair">
        <color rgb="FFC9C3B8"/>
      </right>
      <top style="hair">
        <color rgb="FFC9C3B8"/>
      </top>
      <bottom style="hair">
        <color rgb="FFC9C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5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2F6B4F"/>
        <sz val="9"/>
      </font>
      <fill>
        <patternFill>
          <bgColor rgb="FFE3F0E7"/>
        </patternFill>
      </fill>
    </dxf>
    <dxf>
      <font>
        <name val="Arial"/>
        <charset val="1"/>
        <family val="0"/>
        <b val="1"/>
        <color rgb="FFB0611C"/>
        <sz val="9"/>
      </font>
      <fill>
        <patternFill>
          <bgColor rgb="FFFBEEDF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2F6B4F"/>
        </patternFill>
      </fill>
    </dxf>
    <dxf>
      <font>
        <name val="Arial"/>
        <charset val="1"/>
        <family val="0"/>
        <b val="1"/>
        <color rgb="FF6E7C86"/>
        <sz val="9"/>
      </font>
      <fill>
        <patternFill>
          <bgColor rgb="FFE7E3DA"/>
        </patternFill>
      </fill>
    </dxf>
    <dxf>
      <border diagonalUp="false" diagonalDown="false">
        <left style="medium">
          <color rgb="FFB0611C"/>
        </left>
        <right style="medium">
          <color rgb="FFB0611C"/>
        </right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B0611C"/>
      <rgbColor rgb="FF800080"/>
      <rgbColor rgb="FF2F6B4F"/>
      <rgbColor rgb="FFC9C3B8"/>
      <rgbColor rgb="FF6E7C86"/>
      <rgbColor rgb="FF9999FF"/>
      <rgbColor rgb="FF993366"/>
      <rgbColor rgb="FFFFF9E3"/>
      <rgbColor rgb="FFE3F0E7"/>
      <rgbColor rgb="FF660066"/>
      <rgbColor rgb="FFFF8080"/>
      <rgbColor rgb="FF0066CC"/>
      <rgbColor rgb="FFC6C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1EC"/>
      <rgbColor rgb="FFE7E3DA"/>
      <rgbColor rgb="FFFBEEDF"/>
      <rgbColor rgb="FF99CCFF"/>
      <rgbColor rgb="FFFF99CC"/>
      <rgbColor rgb="FFCC99FF"/>
      <rgbColor rgb="FFF0E2D3"/>
      <rgbColor rgb="FF3366FF"/>
      <rgbColor rgb="FF33CCCC"/>
      <rgbColor rgb="FF99CC00"/>
      <rgbColor rgb="FFFFCC00"/>
      <rgbColor rgb="FFFF9900"/>
      <rgbColor rgb="FFFF6600"/>
      <rgbColor rgb="FF666699"/>
      <rgbColor rgb="FF8C9AA4"/>
      <rgbColor rgb="FF1B2A36"/>
      <rgbColor rgb="FF339966"/>
      <rgbColor rgb="FF003300"/>
      <rgbColor rgb="FF333300"/>
      <rgbColor rgb="FF993300"/>
      <rgbColor rgb="FF993366"/>
      <rgbColor rgb="FF333399"/>
      <rgbColor rgb="FF2E41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5</xdr:col>
      <xdr:colOff>1123560</xdr:colOff>
      <xdr:row>6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400880" y="371520"/>
          <a:ext cx="1123560" cy="1123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611C"/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9.5" hidden="false" customHeight="true" outlineLevel="0" collapsed="false">
      <c r="A4" s="1"/>
      <c r="B4" s="2" t="s">
        <v>0</v>
      </c>
      <c r="C4" s="2"/>
      <c r="D4" s="2"/>
      <c r="E4" s="2"/>
      <c r="F4" s="1"/>
      <c r="G4" s="1"/>
      <c r="H4" s="1"/>
    </row>
    <row r="5" customFormat="false" ht="19.5" hidden="false" customHeight="true" outlineLevel="0" collapsed="false">
      <c r="A5" s="1"/>
      <c r="B5" s="1"/>
      <c r="C5" s="1"/>
      <c r="D5" s="1"/>
      <c r="E5" s="1"/>
      <c r="F5" s="1"/>
      <c r="G5" s="1"/>
      <c r="H5" s="1"/>
    </row>
    <row r="6" customFormat="false" ht="19.5" hidden="false" customHeight="true" outlineLevel="0" collapsed="false">
      <c r="A6" s="1"/>
      <c r="B6" s="3" t="s">
        <v>1</v>
      </c>
      <c r="C6" s="3"/>
      <c r="D6" s="3"/>
      <c r="E6" s="3"/>
      <c r="F6" s="1"/>
      <c r="G6" s="1"/>
      <c r="H6" s="1"/>
    </row>
    <row r="7" customFormat="false" ht="19.5" hidden="false" customHeight="true" outlineLevel="0" collapsed="false">
      <c r="A7" s="1"/>
      <c r="B7" s="3"/>
      <c r="C7" s="3"/>
      <c r="D7" s="3"/>
      <c r="E7" s="3"/>
      <c r="F7" s="1"/>
      <c r="G7" s="1"/>
      <c r="H7" s="1"/>
    </row>
    <row r="8" customFormat="false" ht="19.5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9.5" hidden="false" customHeight="true" outlineLevel="0" collapsed="false">
      <c r="A9" s="1"/>
      <c r="B9" s="4" t="s">
        <v>2</v>
      </c>
      <c r="C9" s="4"/>
      <c r="D9" s="4"/>
      <c r="E9" s="4"/>
      <c r="F9" s="1"/>
      <c r="G9" s="1"/>
      <c r="H9" s="1"/>
    </row>
    <row r="10" customFormat="false" ht="19.5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9.5" hidden="false" customHeight="true" outlineLevel="0" collapsed="false">
      <c r="A11" s="1"/>
      <c r="B11" s="5" t="s">
        <v>3</v>
      </c>
      <c r="C11" s="5"/>
      <c r="D11" s="5"/>
      <c r="E11" s="5"/>
      <c r="F11" s="1"/>
      <c r="G11" s="1"/>
      <c r="H11" s="1"/>
    </row>
    <row r="12" customFormat="false" ht="19.5" hidden="false" customHeight="true" outlineLevel="0" collapsed="false">
      <c r="A12" s="1"/>
      <c r="B12" s="1"/>
      <c r="C12" s="1"/>
      <c r="D12" s="1"/>
      <c r="E12" s="1"/>
      <c r="F12" s="1"/>
      <c r="G12" s="1"/>
      <c r="H12" s="1"/>
    </row>
    <row r="15" customFormat="false" ht="19.5" hidden="false" customHeight="true" outlineLevel="0" collapsed="false">
      <c r="B15" s="6" t="s">
        <v>4</v>
      </c>
      <c r="C15" s="6"/>
      <c r="D15" s="6"/>
      <c r="E15" s="6"/>
    </row>
    <row r="16" customFormat="false" ht="16.5" hidden="false" customHeight="true" outlineLevel="0" collapsed="false">
      <c r="B16" s="7" t="s">
        <v>5</v>
      </c>
      <c r="C16" s="8" t="s">
        <v>6</v>
      </c>
      <c r="D16" s="8"/>
      <c r="E16" s="8"/>
    </row>
    <row r="17" customFormat="false" ht="16.5" hidden="false" customHeight="true" outlineLevel="0" collapsed="false">
      <c r="B17" s="7" t="s">
        <v>7</v>
      </c>
      <c r="C17" s="8" t="s">
        <v>8</v>
      </c>
      <c r="D17" s="8"/>
      <c r="E17" s="8"/>
    </row>
    <row r="18" customFormat="false" ht="16.5" hidden="false" customHeight="true" outlineLevel="0" collapsed="false">
      <c r="B18" s="7" t="s">
        <v>9</v>
      </c>
      <c r="C18" s="8" t="s">
        <v>10</v>
      </c>
      <c r="D18" s="8"/>
      <c r="E18" s="8"/>
    </row>
    <row r="19" customFormat="false" ht="16.5" hidden="false" customHeight="true" outlineLevel="0" collapsed="false">
      <c r="B19" s="7" t="s">
        <v>11</v>
      </c>
      <c r="C19" s="8" t="s">
        <v>12</v>
      </c>
      <c r="D19" s="8"/>
      <c r="E19" s="8"/>
    </row>
    <row r="20" customFormat="false" ht="16.5" hidden="false" customHeight="true" outlineLevel="0" collapsed="false">
      <c r="B20" s="7" t="s">
        <v>13</v>
      </c>
      <c r="C20" s="8" t="s">
        <v>14</v>
      </c>
      <c r="D20" s="8"/>
      <c r="E20" s="8"/>
    </row>
    <row r="22" customFormat="false" ht="19.5" hidden="false" customHeight="true" outlineLevel="0" collapsed="false">
      <c r="B22" s="6" t="s">
        <v>15</v>
      </c>
      <c r="C22" s="6"/>
      <c r="D22" s="6"/>
      <c r="E22" s="6"/>
    </row>
    <row r="23" customFormat="false" ht="24" hidden="false" customHeight="true" outlineLevel="0" collapsed="false">
      <c r="B23" s="9" t="s">
        <v>16</v>
      </c>
      <c r="C23" s="10" t="s">
        <v>17</v>
      </c>
      <c r="D23" s="10"/>
      <c r="E23" s="10"/>
    </row>
    <row r="24" customFormat="false" ht="24" hidden="false" customHeight="true" outlineLevel="0" collapsed="false">
      <c r="B24" s="9" t="s">
        <v>18</v>
      </c>
      <c r="C24" s="10" t="s">
        <v>19</v>
      </c>
      <c r="D24" s="10"/>
      <c r="E24" s="10"/>
    </row>
    <row r="25" customFormat="false" ht="24" hidden="false" customHeight="true" outlineLevel="0" collapsed="false">
      <c r="B25" s="9" t="s">
        <v>20</v>
      </c>
      <c r="C25" s="10" t="s">
        <v>21</v>
      </c>
      <c r="D25" s="10"/>
      <c r="E25" s="10"/>
    </row>
    <row r="27" customFormat="false" ht="19.5" hidden="false" customHeight="true" outlineLevel="0" collapsed="false">
      <c r="B27" s="6" t="s">
        <v>22</v>
      </c>
      <c r="C27" s="6"/>
      <c r="D27" s="6"/>
      <c r="E27" s="6"/>
    </row>
    <row r="28" customFormat="false" ht="36" hidden="false" customHeight="true" outlineLevel="0" collapsed="false">
      <c r="B28" s="11" t="s">
        <v>23</v>
      </c>
      <c r="C28" s="10" t="s">
        <v>24</v>
      </c>
      <c r="D28" s="10"/>
      <c r="E28" s="10"/>
    </row>
    <row r="29" customFormat="false" ht="36" hidden="false" customHeight="true" outlineLevel="0" collapsed="false">
      <c r="B29" s="11" t="s">
        <v>25</v>
      </c>
      <c r="C29" s="10" t="s">
        <v>26</v>
      </c>
      <c r="D29" s="10"/>
      <c r="E29" s="10"/>
    </row>
    <row r="30" customFormat="false" ht="36" hidden="false" customHeight="true" outlineLevel="0" collapsed="false">
      <c r="B30" s="11" t="s">
        <v>27</v>
      </c>
      <c r="C30" s="10" t="s">
        <v>28</v>
      </c>
      <c r="D30" s="10"/>
      <c r="E30" s="10"/>
    </row>
    <row r="31" customFormat="false" ht="36" hidden="false" customHeight="true" outlineLevel="0" collapsed="false">
      <c r="B31" s="11" t="s">
        <v>29</v>
      </c>
      <c r="C31" s="10" t="s">
        <v>30</v>
      </c>
      <c r="D31" s="10"/>
      <c r="E31" s="10"/>
    </row>
    <row r="33" customFormat="false" ht="30" hidden="false" customHeight="true" outlineLevel="0" collapsed="false">
      <c r="B33" s="12" t="s">
        <v>31</v>
      </c>
      <c r="C33" s="12"/>
      <c r="D33" s="12"/>
      <c r="E33" s="12"/>
    </row>
    <row r="35" customFormat="false" ht="18" hidden="false" customHeight="true" outlineLevel="0" collapsed="false">
      <c r="B35" s="13" t="s">
        <v>3</v>
      </c>
      <c r="C35" s="13"/>
      <c r="D35" s="13"/>
      <c r="E35" s="13"/>
      <c r="F35" s="13"/>
    </row>
  </sheetData>
  <mergeCells count="21">
    <mergeCell ref="B4:E4"/>
    <mergeCell ref="B6:E7"/>
    <mergeCell ref="B9:E9"/>
    <mergeCell ref="B11:E11"/>
    <mergeCell ref="B15:E15"/>
    <mergeCell ref="C16:E16"/>
    <mergeCell ref="C17:E17"/>
    <mergeCell ref="C18:E18"/>
    <mergeCell ref="C19:E19"/>
    <mergeCell ref="C20:E20"/>
    <mergeCell ref="B22:E22"/>
    <mergeCell ref="C23:E23"/>
    <mergeCell ref="C24:E24"/>
    <mergeCell ref="C25:E25"/>
    <mergeCell ref="B27:E27"/>
    <mergeCell ref="C28:E28"/>
    <mergeCell ref="C29:E29"/>
    <mergeCell ref="C30:E30"/>
    <mergeCell ref="C31:E31"/>
    <mergeCell ref="B33:E33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611C"/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1" min="10" style="0" width="3"/>
  </cols>
  <sheetData>
    <row r="1" customFormat="false" ht="25.5" hidden="false" customHeight="true" outlineLevel="0" collapsed="false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customFormat="false" ht="7.5" hidden="false" customHeight="true" outlineLevel="0" collapsed="false"/>
    <row r="6" customFormat="false" ht="15" hidden="false" customHeight="false" outlineLevel="0" collapsed="false">
      <c r="B6" s="17" t="s">
        <v>34</v>
      </c>
      <c r="C6" s="18" t="s">
        <v>35</v>
      </c>
    </row>
    <row r="10" customFormat="false" ht="19.5" hidden="false" customHeight="true" outlineLevel="0" collapsed="false">
      <c r="B10" s="6" t="s">
        <v>36</v>
      </c>
      <c r="C10" s="6"/>
      <c r="D10" s="6"/>
      <c r="E10" s="6"/>
      <c r="F10" s="6"/>
      <c r="G10" s="6"/>
      <c r="H10" s="6"/>
      <c r="I10" s="6"/>
    </row>
    <row r="12" customFormat="false" ht="16.5" hidden="false" customHeight="true" outlineLevel="0" collapsed="false">
      <c r="B12" s="19" t="s">
        <v>37</v>
      </c>
      <c r="C12" s="19"/>
      <c r="E12" s="20" t="s">
        <v>38</v>
      </c>
      <c r="F12" s="20"/>
      <c r="H12" s="21" t="s">
        <v>39</v>
      </c>
      <c r="I12" s="21"/>
    </row>
    <row r="13" customFormat="false" ht="33.75" hidden="false" customHeight="true" outlineLevel="0" collapsed="false">
      <c r="B13" s="22" t="n">
        <f aca="false">COUNTIF('Mis Hábitos'!$B$7:$B$18,"?*")</f>
        <v>4</v>
      </c>
      <c r="C13" s="22"/>
      <c r="E13" s="22" t="n">
        <f aca="false">COUNTIF('Mis Hábitos'!$I$7:$I$18,"Activo")</f>
        <v>4</v>
      </c>
      <c r="F13" s="22"/>
      <c r="H13" s="22" t="n">
        <f aca="false">COUNTIF('Mis Hábitos'!$I$7:$I$18,"En pausa")</f>
        <v>0</v>
      </c>
      <c r="I13" s="22"/>
    </row>
    <row r="16" customFormat="false" ht="19.5" hidden="false" customHeight="true" outlineLevel="0" collapsed="false">
      <c r="B16" s="6" t="s">
        <v>40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B17" s="23" t="s">
        <v>41</v>
      </c>
      <c r="C17" s="23" t="s">
        <v>42</v>
      </c>
      <c r="D17" s="23" t="s">
        <v>43</v>
      </c>
      <c r="E17" s="23" t="s">
        <v>44</v>
      </c>
    </row>
    <row r="18" customFormat="false" ht="15" hidden="false" customHeight="false" outlineLevel="0" collapsed="false">
      <c r="B18" s="8" t="str">
        <f aca="false">'Mis Hábitos'!$B$7</f>
        <v>Leer 10 páginas</v>
      </c>
      <c r="C18" s="24" t="n">
        <f aca="false">IF($B18="","",INDEX(Año!$C$7:$N$7,MATCH($C$6,Listas!$E$7:$E$18,0)))</f>
        <v>0</v>
      </c>
      <c r="D18" s="24" t="n">
        <f aca="false">IF(OR($B18="",'Mis Hábitos'!$F$7=""),"",ROUND('Mis Hábitos'!$F$7*DAY(EOMONTH(DATE(2026,MATCH($C$6,Listas!$E$7:$E$18,0),1),0))/7,0))</f>
        <v>31</v>
      </c>
      <c r="E18" s="25" t="n">
        <f aca="false">IF(OR($B18="",$D18="",$D18=0),"",$C18/$D18)</f>
        <v>0</v>
      </c>
    </row>
    <row r="19" customFormat="false" ht="15" hidden="false" customHeight="false" outlineLevel="0" collapsed="false">
      <c r="B19" s="26" t="str">
        <f aca="false">'Mis Hábitos'!$B$8</f>
        <v>Caminar 30 minutos</v>
      </c>
      <c r="C19" s="27" t="n">
        <f aca="false">IF($B19="","",INDEX(Año!$C$8:$N$8,MATCH($C$6,Listas!$E$7:$E$18,0)))</f>
        <v>0</v>
      </c>
      <c r="D19" s="27" t="n">
        <f aca="false">IF(OR($B19="",'Mis Hábitos'!$F$8=""),"",ROUND('Mis Hábitos'!$F$8*DAY(EOMONTH(DATE(2026,MATCH($C$6,Listas!$E$7:$E$18,0),1),0))/7,0))</f>
        <v>22</v>
      </c>
      <c r="E19" s="28" t="n">
        <f aca="false">IF(OR($B19="",$D19="",$D19=0),"",$C19/$D19)</f>
        <v>0</v>
      </c>
    </row>
    <row r="20" customFormat="false" ht="15" hidden="false" customHeight="false" outlineLevel="0" collapsed="false">
      <c r="B20" s="8" t="str">
        <f aca="false">'Mis Hábitos'!$B$9</f>
        <v>Revisar pendientes de la semana</v>
      </c>
      <c r="C20" s="24" t="n">
        <f aca="false">IF($B20="","",INDEX(Año!$C$9:$N$9,MATCH($C$6,Listas!$E$7:$E$18,0)))</f>
        <v>0</v>
      </c>
      <c r="D20" s="24" t="n">
        <f aca="false">IF(OR($B20="",'Mis Hábitos'!$F$9=""),"",ROUND('Mis Hábitos'!$F$9*DAY(EOMONTH(DATE(2026,MATCH($C$6,Listas!$E$7:$E$18,0),1),0))/7,0))</f>
        <v>4</v>
      </c>
      <c r="E20" s="25" t="n">
        <f aca="false">IF(OR($B20="",$D20="",$D20=0),"",$C20/$D20)</f>
        <v>0</v>
      </c>
    </row>
    <row r="21" customFormat="false" ht="15" hidden="false" customHeight="false" outlineLevel="0" collapsed="false">
      <c r="B21" s="26" t="str">
        <f aca="false">'Mis Hábitos'!$B$10</f>
        <v>Practicar guitarra 15 minutos</v>
      </c>
      <c r="C21" s="27" t="n">
        <f aca="false">IF($B21="","",INDEX(Año!$C$10:$N$10,MATCH($C$6,Listas!$E$7:$E$18,0)))</f>
        <v>0</v>
      </c>
      <c r="D21" s="27" t="n">
        <f aca="false">IF(OR($B21="",'Mis Hábitos'!$F$10=""),"",ROUND('Mis Hábitos'!$F$10*DAY(EOMONTH(DATE(2026,MATCH($C$6,Listas!$E$7:$E$18,0),1),0))/7,0))</f>
        <v>13</v>
      </c>
      <c r="E21" s="28" t="n">
        <f aca="false">IF(OR($B21="",$D21="",$D21=0),"",$C21/$D21)</f>
        <v>0</v>
      </c>
    </row>
    <row r="22" customFormat="false" ht="15" hidden="false" customHeight="false" outlineLevel="0" collapsed="false">
      <c r="B22" s="8" t="n">
        <f aca="false">'Mis Hábitos'!$B$11</f>
        <v>0</v>
      </c>
      <c r="C22" s="24" t="str">
        <f aca="false">IF($B22="","",INDEX(Año!$C$11:$N$11,MATCH($C$6,Listas!$E$7:$E$18,0)))</f>
        <v/>
      </c>
      <c r="D22" s="24" t="str">
        <f aca="false">IF(OR($B22="",'Mis Hábitos'!$F$11=""),"",ROUND('Mis Hábitos'!$F$11*DAY(EOMONTH(DATE(2026,MATCH($C$6,Listas!$E$7:$E$18,0),1),0))/7,0))</f>
        <v/>
      </c>
      <c r="E22" s="25" t="str">
        <f aca="false">IF(OR($B22="",$D22="",$D22=0),"",$C22/$D22)</f>
        <v/>
      </c>
    </row>
    <row r="23" customFormat="false" ht="15" hidden="false" customHeight="false" outlineLevel="0" collapsed="false">
      <c r="B23" s="26" t="n">
        <f aca="false">'Mis Hábitos'!$B$12</f>
        <v>0</v>
      </c>
      <c r="C23" s="27" t="str">
        <f aca="false">IF($B23="","",INDEX(Año!$C$12:$N$12,MATCH($C$6,Listas!$E$7:$E$18,0)))</f>
        <v/>
      </c>
      <c r="D23" s="27" t="str">
        <f aca="false">IF(OR($B23="",'Mis Hábitos'!$F$12=""),"",ROUND('Mis Hábitos'!$F$12*DAY(EOMONTH(DATE(2026,MATCH($C$6,Listas!$E$7:$E$18,0),1),0))/7,0))</f>
        <v/>
      </c>
      <c r="E23" s="28" t="str">
        <f aca="false">IF(OR($B23="",$D23="",$D23=0),"",$C23/$D23)</f>
        <v/>
      </c>
    </row>
    <row r="24" customFormat="false" ht="15" hidden="false" customHeight="false" outlineLevel="0" collapsed="false">
      <c r="B24" s="8" t="n">
        <f aca="false">'Mis Hábitos'!$B$13</f>
        <v>0</v>
      </c>
      <c r="C24" s="24" t="str">
        <f aca="false">IF($B24="","",INDEX(Año!$C$13:$N$13,MATCH($C$6,Listas!$E$7:$E$18,0)))</f>
        <v/>
      </c>
      <c r="D24" s="24" t="str">
        <f aca="false">IF(OR($B24="",'Mis Hábitos'!$F$13=""),"",ROUND('Mis Hábitos'!$F$13*DAY(EOMONTH(DATE(2026,MATCH($C$6,Listas!$E$7:$E$18,0),1),0))/7,0))</f>
        <v/>
      </c>
      <c r="E24" s="25" t="str">
        <f aca="false">IF(OR($B24="",$D24="",$D24=0),"",$C24/$D24)</f>
        <v/>
      </c>
    </row>
    <row r="25" customFormat="false" ht="15" hidden="false" customHeight="false" outlineLevel="0" collapsed="false">
      <c r="B25" s="26" t="n">
        <f aca="false">'Mis Hábitos'!$B$14</f>
        <v>0</v>
      </c>
      <c r="C25" s="27" t="str">
        <f aca="false">IF($B25="","",INDEX(Año!$C$14:$N$14,MATCH($C$6,Listas!$E$7:$E$18,0)))</f>
        <v/>
      </c>
      <c r="D25" s="27" t="str">
        <f aca="false">IF(OR($B25="",'Mis Hábitos'!$F$14=""),"",ROUND('Mis Hábitos'!$F$14*DAY(EOMONTH(DATE(2026,MATCH($C$6,Listas!$E$7:$E$18,0),1),0))/7,0))</f>
        <v/>
      </c>
      <c r="E25" s="28" t="str">
        <f aca="false">IF(OR($B25="",$D25="",$D25=0),"",$C25/$D25)</f>
        <v/>
      </c>
    </row>
    <row r="26" customFormat="false" ht="15" hidden="false" customHeight="false" outlineLevel="0" collapsed="false">
      <c r="B26" s="8" t="n">
        <f aca="false">'Mis Hábitos'!$B$15</f>
        <v>0</v>
      </c>
      <c r="C26" s="24" t="str">
        <f aca="false">IF($B26="","",INDEX(Año!$C$15:$N$15,MATCH($C$6,Listas!$E$7:$E$18,0)))</f>
        <v/>
      </c>
      <c r="D26" s="24" t="str">
        <f aca="false">IF(OR($B26="",'Mis Hábitos'!$F$15=""),"",ROUND('Mis Hábitos'!$F$15*DAY(EOMONTH(DATE(2026,MATCH($C$6,Listas!$E$7:$E$18,0),1),0))/7,0))</f>
        <v/>
      </c>
      <c r="E26" s="25" t="str">
        <f aca="false">IF(OR($B26="",$D26="",$D26=0),"",$C26/$D26)</f>
        <v/>
      </c>
    </row>
    <row r="27" customFormat="false" ht="15" hidden="false" customHeight="false" outlineLevel="0" collapsed="false">
      <c r="B27" s="26" t="n">
        <f aca="false">'Mis Hábitos'!$B$16</f>
        <v>0</v>
      </c>
      <c r="C27" s="27" t="str">
        <f aca="false">IF($B27="","",INDEX(Año!$C$16:$N$16,MATCH($C$6,Listas!$E$7:$E$18,0)))</f>
        <v/>
      </c>
      <c r="D27" s="27" t="str">
        <f aca="false">IF(OR($B27="",'Mis Hábitos'!$F$16=""),"",ROUND('Mis Hábitos'!$F$16*DAY(EOMONTH(DATE(2026,MATCH($C$6,Listas!$E$7:$E$18,0),1),0))/7,0))</f>
        <v/>
      </c>
      <c r="E27" s="28" t="str">
        <f aca="false">IF(OR($B27="",$D27="",$D27=0),"",$C27/$D27)</f>
        <v/>
      </c>
    </row>
    <row r="28" customFormat="false" ht="15" hidden="false" customHeight="false" outlineLevel="0" collapsed="false">
      <c r="B28" s="8" t="n">
        <f aca="false">'Mis Hábitos'!$B$17</f>
        <v>0</v>
      </c>
      <c r="C28" s="24" t="str">
        <f aca="false">IF($B28="","",INDEX(Año!$C$17:$N$17,MATCH($C$6,Listas!$E$7:$E$18,0)))</f>
        <v/>
      </c>
      <c r="D28" s="24" t="str">
        <f aca="false">IF(OR($B28="",'Mis Hábitos'!$F$17=""),"",ROUND('Mis Hábitos'!$F$17*DAY(EOMONTH(DATE(2026,MATCH($C$6,Listas!$E$7:$E$18,0),1),0))/7,0))</f>
        <v/>
      </c>
      <c r="E28" s="25" t="str">
        <f aca="false">IF(OR($B28="",$D28="",$D28=0),"",$C28/$D28)</f>
        <v/>
      </c>
    </row>
    <row r="29" customFormat="false" ht="15" hidden="false" customHeight="false" outlineLevel="0" collapsed="false">
      <c r="B29" s="26" t="n">
        <f aca="false">'Mis Hábitos'!$B$18</f>
        <v>0</v>
      </c>
      <c r="C29" s="27" t="str">
        <f aca="false">IF($B29="","",INDEX(Año!$C$18:$N$18,MATCH($C$6,Listas!$E$7:$E$18,0)))</f>
        <v/>
      </c>
      <c r="D29" s="27" t="str">
        <f aca="false">IF(OR($B29="",'Mis Hábitos'!$F$18=""),"",ROUND('Mis Hábitos'!$F$18*DAY(EOMONTH(DATE(2026,MATCH($C$6,Listas!$E$7:$E$18,0),1),0))/7,0))</f>
        <v/>
      </c>
      <c r="E29" s="28" t="str">
        <f aca="false">IF(OR($B29="",$D29="",$D29=0),"",$C29/$D29)</f>
        <v/>
      </c>
    </row>
    <row r="31" customFormat="false" ht="15" hidden="false" customHeight="false" outlineLevel="0" collapsed="false">
      <c r="B31" s="29" t="s">
        <v>45</v>
      </c>
    </row>
    <row r="33" customFormat="false" ht="18" hidden="false" customHeight="true" outlineLevel="0" collapsed="false">
      <c r="B33" s="13" t="s">
        <v>3</v>
      </c>
      <c r="C33" s="13"/>
      <c r="D33" s="13"/>
      <c r="E33" s="13"/>
    </row>
  </sheetData>
  <mergeCells count="12">
    <mergeCell ref="A1:K1"/>
    <mergeCell ref="A2:K2"/>
    <mergeCell ref="A3:K3"/>
    <mergeCell ref="B10:I10"/>
    <mergeCell ref="B12:C12"/>
    <mergeCell ref="E12:F12"/>
    <mergeCell ref="H12:I12"/>
    <mergeCell ref="B13:C13"/>
    <mergeCell ref="E13:F13"/>
    <mergeCell ref="H13:I13"/>
    <mergeCell ref="B16:H16"/>
    <mergeCell ref="B33:E33"/>
  </mergeCells>
  <conditionalFormatting sqref="E18:E29">
    <cfRule type="colorScale" priority="2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false" errorStyle="stop" operator="between" showDropDown="false" showErrorMessage="false" showInputMessage="false" sqref="C6" type="list">
      <formula1>"Enero,Febrero,Marzo,Abril,Mayo,Junio,Julio,Agosto,Septiembre,Octubre,Noviembre,Diciembre"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7C86"/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4" t="s">
        <v>46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true" outlineLevel="0" collapsed="false">
      <c r="A2" s="15" t="s">
        <v>47</v>
      </c>
      <c r="B2" s="15"/>
      <c r="C2" s="15"/>
      <c r="D2" s="15"/>
      <c r="E2" s="15"/>
      <c r="F2" s="15"/>
      <c r="G2" s="15"/>
      <c r="H2" s="15"/>
      <c r="I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</row>
    <row r="4" customFormat="false" ht="7.5" hidden="false" customHeight="true" outlineLevel="0" collapsed="false"/>
    <row r="6" customFormat="false" ht="30" hidden="false" customHeight="true" outlineLevel="0" collapsed="false">
      <c r="A6" s="23" t="s">
        <v>48</v>
      </c>
      <c r="B6" s="23" t="s">
        <v>41</v>
      </c>
      <c r="C6" s="23" t="s">
        <v>49</v>
      </c>
      <c r="D6" s="23" t="s">
        <v>50</v>
      </c>
      <c r="E6" s="23" t="s">
        <v>51</v>
      </c>
      <c r="F6" s="23" t="s">
        <v>52</v>
      </c>
      <c r="G6" s="23" t="s">
        <v>53</v>
      </c>
      <c r="H6" s="23" t="s">
        <v>54</v>
      </c>
      <c r="I6" s="23" t="s">
        <v>55</v>
      </c>
    </row>
    <row r="7" customFormat="false" ht="19.5" hidden="false" customHeight="true" outlineLevel="0" collapsed="false">
      <c r="A7" s="24" t="n">
        <f aca="false">IF($B7="","",ROW()-6)</f>
        <v>1</v>
      </c>
      <c r="B7" s="30" t="s">
        <v>56</v>
      </c>
      <c r="C7" s="30" t="s">
        <v>57</v>
      </c>
      <c r="D7" s="30" t="s">
        <v>58</v>
      </c>
      <c r="E7" s="30" t="s">
        <v>59</v>
      </c>
      <c r="F7" s="24" t="n">
        <f aca="false">IF($B7="","",IF($D7="Todos los días",7,IF($D7="Días hábiles",5,IF($D7="5 por semana",5,IF($D7="3 por semana",3,IF($D7="2 por semana",2,IF($D7="1 por semana",1,"")))))))</f>
        <v>7</v>
      </c>
      <c r="G7" s="30" t="s">
        <v>60</v>
      </c>
      <c r="H7" s="30" t="s">
        <v>61</v>
      </c>
      <c r="I7" s="30" t="s">
        <v>62</v>
      </c>
    </row>
    <row r="8" customFormat="false" ht="19.5" hidden="false" customHeight="true" outlineLevel="0" collapsed="false">
      <c r="A8" s="27" t="n">
        <f aca="false">IF($B8="","",ROW()-6)</f>
        <v>2</v>
      </c>
      <c r="B8" s="30" t="s">
        <v>63</v>
      </c>
      <c r="C8" s="30" t="s">
        <v>64</v>
      </c>
      <c r="D8" s="30" t="s">
        <v>65</v>
      </c>
      <c r="E8" s="30" t="s">
        <v>66</v>
      </c>
      <c r="F8" s="27" t="n">
        <f aca="false">IF($B8="","",IF($D8="Todos los días",7,IF($D8="Días hábiles",5,IF($D8="5 por semana",5,IF($D8="3 por semana",3,IF($D8="2 por semana",2,IF($D8="1 por semana",1,"")))))))</f>
        <v>5</v>
      </c>
      <c r="G8" s="30" t="s">
        <v>67</v>
      </c>
      <c r="H8" s="30" t="s">
        <v>68</v>
      </c>
      <c r="I8" s="30" t="s">
        <v>62</v>
      </c>
    </row>
    <row r="9" customFormat="false" ht="19.5" hidden="false" customHeight="true" outlineLevel="0" collapsed="false">
      <c r="A9" s="24" t="n">
        <f aca="false">IF($B9="","",ROW()-6)</f>
        <v>3</v>
      </c>
      <c r="B9" s="30" t="s">
        <v>69</v>
      </c>
      <c r="C9" s="30" t="s">
        <v>70</v>
      </c>
      <c r="D9" s="30" t="s">
        <v>71</v>
      </c>
      <c r="E9" s="30" t="s">
        <v>72</v>
      </c>
      <c r="F9" s="24" t="n">
        <f aca="false">IF($B9="","",IF($D9="Todos los días",7,IF($D9="Días hábiles",5,IF($D9="5 por semana",5,IF($D9="3 por semana",3,IF($D9="2 por semana",2,IF($D9="1 por semana",1,"")))))))</f>
        <v>1</v>
      </c>
      <c r="G9" s="30" t="s">
        <v>73</v>
      </c>
      <c r="H9" s="30" t="s">
        <v>74</v>
      </c>
      <c r="I9" s="30" t="s">
        <v>62</v>
      </c>
    </row>
    <row r="10" customFormat="false" ht="19.5" hidden="false" customHeight="true" outlineLevel="0" collapsed="false">
      <c r="A10" s="27" t="n">
        <f aca="false">IF($B10="","",ROW()-6)</f>
        <v>4</v>
      </c>
      <c r="B10" s="30" t="s">
        <v>75</v>
      </c>
      <c r="C10" s="30" t="s">
        <v>76</v>
      </c>
      <c r="D10" s="30" t="s">
        <v>77</v>
      </c>
      <c r="E10" s="30" t="s">
        <v>59</v>
      </c>
      <c r="F10" s="27" t="n">
        <f aca="false">IF($B10="","",IF($D10="Todos los días",7,IF($D10="Días hábiles",5,IF($D10="5 por semana",5,IF($D10="3 por semana",3,IF($D10="2 por semana",2,IF($D10="1 por semana",1,"")))))))</f>
        <v>3</v>
      </c>
      <c r="G10" s="30" t="s">
        <v>78</v>
      </c>
      <c r="H10" s="30" t="s">
        <v>79</v>
      </c>
      <c r="I10" s="30" t="s">
        <v>62</v>
      </c>
    </row>
    <row r="11" customFormat="false" ht="19.5" hidden="false" customHeight="true" outlineLevel="0" collapsed="false">
      <c r="A11" s="24" t="str">
        <f aca="false">IF($B11="","",ROW()-6)</f>
        <v/>
      </c>
      <c r="B11" s="30"/>
      <c r="C11" s="30"/>
      <c r="D11" s="30"/>
      <c r="E11" s="30"/>
      <c r="F11" s="24" t="str">
        <f aca="false">IF($B11="","",IF($D11="Todos los días",7,IF($D11="Días hábiles",5,IF($D11="5 por semana",5,IF($D11="3 por semana",3,IF($D11="2 por semana",2,IF($D11="1 por semana",1,"")))))))</f>
        <v/>
      </c>
      <c r="G11" s="30"/>
      <c r="H11" s="30"/>
      <c r="I11" s="30"/>
    </row>
    <row r="12" customFormat="false" ht="19.5" hidden="false" customHeight="true" outlineLevel="0" collapsed="false">
      <c r="A12" s="27" t="str">
        <f aca="false">IF($B12="","",ROW()-6)</f>
        <v/>
      </c>
      <c r="B12" s="30"/>
      <c r="C12" s="30"/>
      <c r="D12" s="30"/>
      <c r="E12" s="30"/>
      <c r="F12" s="27" t="str">
        <f aca="false">IF($B12="","",IF($D12="Todos los días",7,IF($D12="Días hábiles",5,IF($D12="5 por semana",5,IF($D12="3 por semana",3,IF($D12="2 por semana",2,IF($D12="1 por semana",1,"")))))))</f>
        <v/>
      </c>
      <c r="G12" s="30"/>
      <c r="H12" s="30"/>
      <c r="I12" s="30"/>
    </row>
    <row r="13" customFormat="false" ht="19.5" hidden="false" customHeight="true" outlineLevel="0" collapsed="false">
      <c r="A13" s="24" t="str">
        <f aca="false">IF($B13="","",ROW()-6)</f>
        <v/>
      </c>
      <c r="B13" s="30"/>
      <c r="C13" s="30"/>
      <c r="D13" s="30"/>
      <c r="E13" s="30"/>
      <c r="F13" s="24" t="str">
        <f aca="false">IF($B13="","",IF($D13="Todos los días",7,IF($D13="Días hábiles",5,IF($D13="5 por semana",5,IF($D13="3 por semana",3,IF($D13="2 por semana",2,IF($D13="1 por semana",1,"")))))))</f>
        <v/>
      </c>
      <c r="G13" s="30"/>
      <c r="H13" s="30"/>
      <c r="I13" s="30"/>
    </row>
    <row r="14" customFormat="false" ht="19.5" hidden="false" customHeight="true" outlineLevel="0" collapsed="false">
      <c r="A14" s="27" t="str">
        <f aca="false">IF($B14="","",ROW()-6)</f>
        <v/>
      </c>
      <c r="B14" s="30"/>
      <c r="C14" s="30"/>
      <c r="D14" s="30"/>
      <c r="E14" s="30"/>
      <c r="F14" s="27" t="str">
        <f aca="false">IF($B14="","",IF($D14="Todos los días",7,IF($D14="Días hábiles",5,IF($D14="5 por semana",5,IF($D14="3 por semana",3,IF($D14="2 por semana",2,IF($D14="1 por semana",1,"")))))))</f>
        <v/>
      </c>
      <c r="G14" s="30"/>
      <c r="H14" s="30"/>
      <c r="I14" s="30"/>
    </row>
    <row r="15" customFormat="false" ht="19.5" hidden="false" customHeight="true" outlineLevel="0" collapsed="false">
      <c r="A15" s="24" t="str">
        <f aca="false">IF($B15="","",ROW()-6)</f>
        <v/>
      </c>
      <c r="B15" s="30"/>
      <c r="C15" s="30"/>
      <c r="D15" s="30"/>
      <c r="E15" s="30"/>
      <c r="F15" s="24" t="str">
        <f aca="false">IF($B15="","",IF($D15="Todos los días",7,IF($D15="Días hábiles",5,IF($D15="5 por semana",5,IF($D15="3 por semana",3,IF($D15="2 por semana",2,IF($D15="1 por semana",1,"")))))))</f>
        <v/>
      </c>
      <c r="G15" s="30"/>
      <c r="H15" s="30"/>
      <c r="I15" s="30"/>
    </row>
    <row r="16" customFormat="false" ht="19.5" hidden="false" customHeight="true" outlineLevel="0" collapsed="false">
      <c r="A16" s="27" t="str">
        <f aca="false">IF($B16="","",ROW()-6)</f>
        <v/>
      </c>
      <c r="B16" s="30"/>
      <c r="C16" s="30"/>
      <c r="D16" s="30"/>
      <c r="E16" s="30"/>
      <c r="F16" s="27" t="str">
        <f aca="false">IF($B16="","",IF($D16="Todos los días",7,IF($D16="Días hábiles",5,IF($D16="5 por semana",5,IF($D16="3 por semana",3,IF($D16="2 por semana",2,IF($D16="1 por semana",1,"")))))))</f>
        <v/>
      </c>
      <c r="G16" s="30"/>
      <c r="H16" s="30"/>
      <c r="I16" s="30"/>
    </row>
    <row r="17" customFormat="false" ht="19.5" hidden="false" customHeight="true" outlineLevel="0" collapsed="false">
      <c r="A17" s="24" t="str">
        <f aca="false">IF($B17="","",ROW()-6)</f>
        <v/>
      </c>
      <c r="B17" s="30"/>
      <c r="C17" s="30"/>
      <c r="D17" s="30"/>
      <c r="E17" s="30"/>
      <c r="F17" s="24" t="str">
        <f aca="false">IF($B17="","",IF($D17="Todos los días",7,IF($D17="Días hábiles",5,IF($D17="5 por semana",5,IF($D17="3 por semana",3,IF($D17="2 por semana",2,IF($D17="1 por semana",1,"")))))))</f>
        <v/>
      </c>
      <c r="G17" s="30"/>
      <c r="H17" s="30"/>
      <c r="I17" s="30"/>
    </row>
    <row r="18" customFormat="false" ht="19.5" hidden="false" customHeight="true" outlineLevel="0" collapsed="false">
      <c r="A18" s="27" t="str">
        <f aca="false">IF($B18="","",ROW()-6)</f>
        <v/>
      </c>
      <c r="B18" s="30"/>
      <c r="C18" s="30"/>
      <c r="D18" s="30"/>
      <c r="E18" s="30"/>
      <c r="F18" s="27" t="str">
        <f aca="false">IF($B18="","",IF($D18="Todos los días",7,IF($D18="Días hábiles",5,IF($D18="5 por semana",5,IF($D18="3 por semana",3,IF($D18="2 por semana",2,IF($D18="1 por semana",1,"")))))))</f>
        <v/>
      </c>
      <c r="G18" s="30"/>
      <c r="H18" s="30"/>
      <c r="I18" s="30"/>
    </row>
    <row r="20" customFormat="false" ht="15" hidden="false" customHeight="false" outlineLevel="0" collapsed="false">
      <c r="B20" s="29" t="s">
        <v>80</v>
      </c>
    </row>
    <row r="22" customFormat="false" ht="18" hidden="false" customHeight="true" outlineLevel="0" collapsed="false">
      <c r="A22" s="13" t="s">
        <v>3</v>
      </c>
      <c r="B22" s="13"/>
      <c r="C22" s="13"/>
      <c r="D22" s="13"/>
      <c r="E22" s="13"/>
      <c r="F22" s="13"/>
      <c r="G22" s="13"/>
      <c r="H22" s="13"/>
      <c r="I22" s="13"/>
    </row>
  </sheetData>
  <mergeCells count="4">
    <mergeCell ref="A1:I1"/>
    <mergeCell ref="A2:I2"/>
    <mergeCell ref="A3:I3"/>
    <mergeCell ref="A22:I22"/>
  </mergeCells>
  <conditionalFormatting sqref="I7:I18">
    <cfRule type="cellIs" priority="2" operator="equal" aboveAverage="0" equalAverage="0" bottom="0" percent="0" rank="0" text="" dxfId="0">
      <formula>"Activo"</formula>
    </cfRule>
    <cfRule type="cellIs" priority="3" operator="equal" aboveAverage="0" equalAverage="0" bottom="0" percent="0" rank="0" text="" dxfId="1">
      <formula>"En pausa"</formula>
    </cfRule>
  </conditionalFormatting>
  <dataValidations count="4">
    <dataValidation allowBlank="true" errorStyle="stop" operator="between" showDropDown="false" showErrorMessage="false" showInputMessage="false" sqref="C7:C18" type="list">
      <formula1>Listas!$B$7:$B$30</formula1>
      <formula2>0</formula2>
    </dataValidation>
    <dataValidation allowBlank="true" errorStyle="stop" operator="between" showDropDown="false" showErrorMessage="false" showInputMessage="false" sqref="D7:D18" type="list">
      <formula1>Listas!$A$7:$A$30</formula1>
      <formula2>0</formula2>
    </dataValidation>
    <dataValidation allowBlank="true" errorStyle="stop" operator="between" showDropDown="false" showErrorMessage="false" showInputMessage="false" sqref="E7:E18" type="list">
      <formula1>Listas!$C$7:$C$30</formula1>
      <formula2>0</formula2>
    </dataValidation>
    <dataValidation allowBlank="true" errorStyle="stop" operator="between" showDropDown="false" showErrorMessage="false" showInputMessage="false" sqref="I7:I18" type="list">
      <formula1>Listas!$D$7:$D$30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83</v>
      </c>
      <c r="E5" s="31" t="s">
        <v>84</v>
      </c>
      <c r="F5" s="32" t="s">
        <v>85</v>
      </c>
      <c r="G5" s="32" t="s">
        <v>86</v>
      </c>
      <c r="H5" s="31" t="s">
        <v>87</v>
      </c>
      <c r="I5" s="31" t="s">
        <v>88</v>
      </c>
      <c r="J5" s="31" t="s">
        <v>88</v>
      </c>
      <c r="K5" s="31" t="s">
        <v>83</v>
      </c>
      <c r="L5" s="31" t="s">
        <v>84</v>
      </c>
      <c r="M5" s="32" t="s">
        <v>85</v>
      </c>
      <c r="N5" s="32" t="s">
        <v>86</v>
      </c>
      <c r="O5" s="31" t="s">
        <v>87</v>
      </c>
      <c r="P5" s="31" t="s">
        <v>88</v>
      </c>
      <c r="Q5" s="31" t="s">
        <v>88</v>
      </c>
      <c r="R5" s="31" t="s">
        <v>83</v>
      </c>
      <c r="S5" s="31" t="s">
        <v>84</v>
      </c>
      <c r="T5" s="32" t="s">
        <v>85</v>
      </c>
      <c r="U5" s="32" t="s">
        <v>86</v>
      </c>
      <c r="V5" s="31" t="s">
        <v>87</v>
      </c>
      <c r="W5" s="31" t="s">
        <v>88</v>
      </c>
      <c r="X5" s="31" t="s">
        <v>88</v>
      </c>
      <c r="Y5" s="31" t="s">
        <v>83</v>
      </c>
      <c r="Z5" s="31" t="s">
        <v>84</v>
      </c>
      <c r="AA5" s="32" t="s">
        <v>85</v>
      </c>
      <c r="AB5" s="32" t="s">
        <v>86</v>
      </c>
      <c r="AC5" s="31" t="s">
        <v>87</v>
      </c>
      <c r="AD5" s="31" t="s">
        <v>88</v>
      </c>
      <c r="AE5" s="31" t="s">
        <v>88</v>
      </c>
      <c r="AF5" s="31" t="s">
        <v>83</v>
      </c>
      <c r="AG5" s="31" t="s">
        <v>84</v>
      </c>
      <c r="AH5" s="32" t="s">
        <v>85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4" t="n">
        <v>3</v>
      </c>
      <c r="G6" s="34" t="n">
        <v>4</v>
      </c>
      <c r="H6" s="33" t="n">
        <v>5</v>
      </c>
      <c r="I6" s="33" t="n">
        <v>6</v>
      </c>
      <c r="J6" s="33" t="n">
        <v>7</v>
      </c>
      <c r="K6" s="33" t="n">
        <v>8</v>
      </c>
      <c r="L6" s="33" t="n">
        <v>9</v>
      </c>
      <c r="M6" s="34" t="n">
        <v>10</v>
      </c>
      <c r="N6" s="34" t="n">
        <v>11</v>
      </c>
      <c r="O6" s="33" t="n">
        <v>12</v>
      </c>
      <c r="P6" s="33" t="n">
        <v>13</v>
      </c>
      <c r="Q6" s="33" t="n">
        <v>14</v>
      </c>
      <c r="R6" s="33" t="n">
        <v>15</v>
      </c>
      <c r="S6" s="33" t="n">
        <v>16</v>
      </c>
      <c r="T6" s="34" t="n">
        <v>17</v>
      </c>
      <c r="U6" s="34" t="n">
        <v>18</v>
      </c>
      <c r="V6" s="33" t="n">
        <v>19</v>
      </c>
      <c r="W6" s="33" t="n">
        <v>20</v>
      </c>
      <c r="X6" s="33" t="n">
        <v>21</v>
      </c>
      <c r="Y6" s="33" t="n">
        <v>22</v>
      </c>
      <c r="Z6" s="33" t="n">
        <v>23</v>
      </c>
      <c r="AA6" s="34" t="n">
        <v>24</v>
      </c>
      <c r="AB6" s="34" t="n">
        <v>25</v>
      </c>
      <c r="AC6" s="33" t="n">
        <v>26</v>
      </c>
      <c r="AD6" s="33" t="n">
        <v>27</v>
      </c>
      <c r="AE6" s="33" t="n">
        <v>28</v>
      </c>
      <c r="AF6" s="33" t="n">
        <v>29</v>
      </c>
      <c r="AG6" s="33" t="n">
        <v>30</v>
      </c>
      <c r="AH6" s="34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DATE(2026,1,1)=TODAY()</formula>
    </cfRule>
  </conditionalFormatting>
  <conditionalFormatting sqref="E6:E18">
    <cfRule type="expression" priority="5" aboveAverage="0" equalAverage="0" bottom="0" percent="0" rank="0" text="" dxfId="4">
      <formula>DATE(2026,1,2)=TODAY()</formula>
    </cfRule>
  </conditionalFormatting>
  <conditionalFormatting sqref="F6:F18">
    <cfRule type="expression" priority="6" aboveAverage="0" equalAverage="0" bottom="0" percent="0" rank="0" text="" dxfId="4">
      <formula>DATE(2026,1,3)=TODAY()</formula>
    </cfRule>
  </conditionalFormatting>
  <conditionalFormatting sqref="G6:G18">
    <cfRule type="expression" priority="7" aboveAverage="0" equalAverage="0" bottom="0" percent="0" rank="0" text="" dxfId="4">
      <formula>DATE(2026,1,4)=TODAY()</formula>
    </cfRule>
  </conditionalFormatting>
  <conditionalFormatting sqref="H6:H18">
    <cfRule type="expression" priority="8" aboveAverage="0" equalAverage="0" bottom="0" percent="0" rank="0" text="" dxfId="4">
      <formula>DATE(2026,1,5)=TODAY()</formula>
    </cfRule>
  </conditionalFormatting>
  <conditionalFormatting sqref="I6:I18">
    <cfRule type="expression" priority="9" aboveAverage="0" equalAverage="0" bottom="0" percent="0" rank="0" text="" dxfId="4">
      <formula>DATE(2026,1,6)=TODAY()</formula>
    </cfRule>
  </conditionalFormatting>
  <conditionalFormatting sqref="J6:J18">
    <cfRule type="expression" priority="10" aboveAverage="0" equalAverage="0" bottom="0" percent="0" rank="0" text="" dxfId="4">
      <formula>DATE(2026,1,7)=TODAY()</formula>
    </cfRule>
  </conditionalFormatting>
  <conditionalFormatting sqref="K6:K18">
    <cfRule type="expression" priority="11" aboveAverage="0" equalAverage="0" bottom="0" percent="0" rank="0" text="" dxfId="4">
      <formula>DATE(2026,1,8)=TODAY()</formula>
    </cfRule>
  </conditionalFormatting>
  <conditionalFormatting sqref="L6:L18">
    <cfRule type="expression" priority="12" aboveAverage="0" equalAverage="0" bottom="0" percent="0" rank="0" text="" dxfId="4">
      <formula>DATE(2026,1,9)=TODAY()</formula>
    </cfRule>
  </conditionalFormatting>
  <conditionalFormatting sqref="M6:M18">
    <cfRule type="expression" priority="13" aboveAverage="0" equalAverage="0" bottom="0" percent="0" rank="0" text="" dxfId="4">
      <formula>DATE(2026,1,10)=TODAY()</formula>
    </cfRule>
  </conditionalFormatting>
  <conditionalFormatting sqref="N6:N18">
    <cfRule type="expression" priority="14" aboveAverage="0" equalAverage="0" bottom="0" percent="0" rank="0" text="" dxfId="4">
      <formula>DATE(2026,1,11)=TODAY()</formula>
    </cfRule>
  </conditionalFormatting>
  <conditionalFormatting sqref="O6:O18">
    <cfRule type="expression" priority="15" aboveAverage="0" equalAverage="0" bottom="0" percent="0" rank="0" text="" dxfId="4">
      <formula>DATE(2026,1,12)=TODAY()</formula>
    </cfRule>
  </conditionalFormatting>
  <conditionalFormatting sqref="P6:P18">
    <cfRule type="expression" priority="16" aboveAverage="0" equalAverage="0" bottom="0" percent="0" rank="0" text="" dxfId="4">
      <formula>DATE(2026,1,13)=TODAY()</formula>
    </cfRule>
  </conditionalFormatting>
  <conditionalFormatting sqref="Q6:Q18">
    <cfRule type="expression" priority="17" aboveAverage="0" equalAverage="0" bottom="0" percent="0" rank="0" text="" dxfId="4">
      <formula>DATE(2026,1,14)=TODAY()</formula>
    </cfRule>
  </conditionalFormatting>
  <conditionalFormatting sqref="R6:R18">
    <cfRule type="expression" priority="18" aboveAverage="0" equalAverage="0" bottom="0" percent="0" rank="0" text="" dxfId="4">
      <formula>DATE(2026,1,15)=TODAY()</formula>
    </cfRule>
  </conditionalFormatting>
  <conditionalFormatting sqref="S6:S18">
    <cfRule type="expression" priority="19" aboveAverage="0" equalAverage="0" bottom="0" percent="0" rank="0" text="" dxfId="4">
      <formula>DATE(2026,1,16)=TODAY()</formula>
    </cfRule>
  </conditionalFormatting>
  <conditionalFormatting sqref="T6:T18">
    <cfRule type="expression" priority="20" aboveAverage="0" equalAverage="0" bottom="0" percent="0" rank="0" text="" dxfId="4">
      <formula>DATE(2026,1,17)=TODAY()</formula>
    </cfRule>
  </conditionalFormatting>
  <conditionalFormatting sqref="U6:U18">
    <cfRule type="expression" priority="21" aboveAverage="0" equalAverage="0" bottom="0" percent="0" rank="0" text="" dxfId="4">
      <formula>DATE(2026,1,18)=TODAY()</formula>
    </cfRule>
  </conditionalFormatting>
  <conditionalFormatting sqref="V6:V18">
    <cfRule type="expression" priority="22" aboveAverage="0" equalAverage="0" bottom="0" percent="0" rank="0" text="" dxfId="4">
      <formula>DATE(2026,1,19)=TODAY()</formula>
    </cfRule>
  </conditionalFormatting>
  <conditionalFormatting sqref="W6:W18">
    <cfRule type="expression" priority="23" aboveAverage="0" equalAverage="0" bottom="0" percent="0" rank="0" text="" dxfId="4">
      <formula>DATE(2026,1,20)=TODAY()</formula>
    </cfRule>
  </conditionalFormatting>
  <conditionalFormatting sqref="X6:X18">
    <cfRule type="expression" priority="24" aboveAverage="0" equalAverage="0" bottom="0" percent="0" rank="0" text="" dxfId="4">
      <formula>DATE(2026,1,21)=TODAY()</formula>
    </cfRule>
  </conditionalFormatting>
  <conditionalFormatting sqref="Y6:Y18">
    <cfRule type="expression" priority="25" aboveAverage="0" equalAverage="0" bottom="0" percent="0" rank="0" text="" dxfId="4">
      <formula>DATE(2026,1,22)=TODAY()</formula>
    </cfRule>
  </conditionalFormatting>
  <conditionalFormatting sqref="Z6:Z18">
    <cfRule type="expression" priority="26" aboveAverage="0" equalAverage="0" bottom="0" percent="0" rank="0" text="" dxfId="4">
      <formula>DATE(2026,1,23)=TODAY()</formula>
    </cfRule>
  </conditionalFormatting>
  <conditionalFormatting sqref="AA6:AA18">
    <cfRule type="expression" priority="27" aboveAverage="0" equalAverage="0" bottom="0" percent="0" rank="0" text="" dxfId="4">
      <formula>DATE(2026,1,24)=TODAY()</formula>
    </cfRule>
  </conditionalFormatting>
  <conditionalFormatting sqref="AB6:AB18">
    <cfRule type="expression" priority="28" aboveAverage="0" equalAverage="0" bottom="0" percent="0" rank="0" text="" dxfId="4">
      <formula>DATE(2026,1,25)=TODAY()</formula>
    </cfRule>
  </conditionalFormatting>
  <conditionalFormatting sqref="AC6:AC18">
    <cfRule type="expression" priority="29" aboveAverage="0" equalAverage="0" bottom="0" percent="0" rank="0" text="" dxfId="4">
      <formula>DATE(2026,1,26)=TODAY()</formula>
    </cfRule>
  </conditionalFormatting>
  <conditionalFormatting sqref="AD6:AD18">
    <cfRule type="expression" priority="30" aboveAverage="0" equalAverage="0" bottom="0" percent="0" rank="0" text="" dxfId="4">
      <formula>DATE(2026,1,27)=TODAY()</formula>
    </cfRule>
  </conditionalFormatting>
  <conditionalFormatting sqref="AE6:AE18">
    <cfRule type="expression" priority="31" aboveAverage="0" equalAverage="0" bottom="0" percent="0" rank="0" text="" dxfId="4">
      <formula>DATE(2026,1,28)=TODAY()</formula>
    </cfRule>
  </conditionalFormatting>
  <conditionalFormatting sqref="AF6:AF18">
    <cfRule type="expression" priority="32" aboveAverage="0" equalAverage="0" bottom="0" percent="0" rank="0" text="" dxfId="4">
      <formula>DATE(2026,1,29)=TODAY()</formula>
    </cfRule>
  </conditionalFormatting>
  <conditionalFormatting sqref="AG6:AG18">
    <cfRule type="expression" priority="33" aboveAverage="0" equalAverage="0" bottom="0" percent="0" rank="0" text="" dxfId="4">
      <formula>DATE(2026,1,30)=TODAY()</formula>
    </cfRule>
  </conditionalFormatting>
  <conditionalFormatting sqref="AH6:AH18">
    <cfRule type="expression" priority="34" aboveAverage="0" equalAverage="0" bottom="0" percent="0" rank="0" text="" dxfId="4">
      <formula>DATE(2026,1,31)=TODAY()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1" min="4" style="0" width="3.4"/>
    <col collapsed="false" customWidth="true" hidden="false" outlineLevel="0" max="35" min="32" style="0" width="10"/>
  </cols>
  <sheetData>
    <row r="1" customFormat="false" ht="25.5" hidden="false" customHeight="true" outlineLevel="0" collapsed="false">
      <c r="A1" s="14" t="s">
        <v>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customFormat="false" ht="7.5" hidden="false" customHeight="true" outlineLevel="0" collapsed="false"/>
    <row r="5" customFormat="false" ht="10.5" hidden="false" customHeight="true" outlineLevel="0" collapsed="false">
      <c r="D5" s="32" t="s">
        <v>86</v>
      </c>
      <c r="E5" s="31" t="s">
        <v>87</v>
      </c>
      <c r="F5" s="31" t="s">
        <v>88</v>
      </c>
      <c r="G5" s="31" t="s">
        <v>88</v>
      </c>
      <c r="H5" s="31" t="s">
        <v>83</v>
      </c>
      <c r="I5" s="31" t="s">
        <v>84</v>
      </c>
      <c r="J5" s="32" t="s">
        <v>85</v>
      </c>
      <c r="K5" s="32" t="s">
        <v>86</v>
      </c>
      <c r="L5" s="31" t="s">
        <v>87</v>
      </c>
      <c r="M5" s="31" t="s">
        <v>88</v>
      </c>
      <c r="N5" s="31" t="s">
        <v>88</v>
      </c>
      <c r="O5" s="31" t="s">
        <v>83</v>
      </c>
      <c r="P5" s="31" t="s">
        <v>84</v>
      </c>
      <c r="Q5" s="32" t="s">
        <v>85</v>
      </c>
      <c r="R5" s="32" t="s">
        <v>86</v>
      </c>
      <c r="S5" s="31" t="s">
        <v>87</v>
      </c>
      <c r="T5" s="31" t="s">
        <v>88</v>
      </c>
      <c r="U5" s="31" t="s">
        <v>88</v>
      </c>
      <c r="V5" s="31" t="s">
        <v>83</v>
      </c>
      <c r="W5" s="31" t="s">
        <v>84</v>
      </c>
      <c r="X5" s="32" t="s">
        <v>85</v>
      </c>
      <c r="Y5" s="32" t="s">
        <v>86</v>
      </c>
      <c r="Z5" s="31" t="s">
        <v>87</v>
      </c>
      <c r="AA5" s="31" t="s">
        <v>88</v>
      </c>
      <c r="AB5" s="31" t="s">
        <v>88</v>
      </c>
      <c r="AC5" s="31" t="s">
        <v>83</v>
      </c>
      <c r="AD5" s="31" t="s">
        <v>84</v>
      </c>
      <c r="AE5" s="32" t="s">
        <v>85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4" t="n">
        <v>1</v>
      </c>
      <c r="E6" s="33" t="n">
        <v>2</v>
      </c>
      <c r="F6" s="33" t="n">
        <v>3</v>
      </c>
      <c r="G6" s="33" t="n">
        <v>4</v>
      </c>
      <c r="H6" s="33" t="n">
        <v>5</v>
      </c>
      <c r="I6" s="33" t="n">
        <v>6</v>
      </c>
      <c r="J6" s="34" t="n">
        <v>7</v>
      </c>
      <c r="K6" s="34" t="n">
        <v>8</v>
      </c>
      <c r="L6" s="33" t="n">
        <v>9</v>
      </c>
      <c r="M6" s="33" t="n">
        <v>10</v>
      </c>
      <c r="N6" s="33" t="n">
        <v>11</v>
      </c>
      <c r="O6" s="33" t="n">
        <v>12</v>
      </c>
      <c r="P6" s="33" t="n">
        <v>13</v>
      </c>
      <c r="Q6" s="34" t="n">
        <v>14</v>
      </c>
      <c r="R6" s="34" t="n">
        <v>15</v>
      </c>
      <c r="S6" s="33" t="n">
        <v>16</v>
      </c>
      <c r="T6" s="33" t="n">
        <v>17</v>
      </c>
      <c r="U6" s="33" t="n">
        <v>18</v>
      </c>
      <c r="V6" s="33" t="n">
        <v>19</v>
      </c>
      <c r="W6" s="33" t="n">
        <v>20</v>
      </c>
      <c r="X6" s="34" t="n">
        <v>21</v>
      </c>
      <c r="Y6" s="34" t="n">
        <v>22</v>
      </c>
      <c r="Z6" s="33" t="n">
        <v>23</v>
      </c>
      <c r="AA6" s="33" t="n">
        <v>24</v>
      </c>
      <c r="AB6" s="33" t="n">
        <v>25</v>
      </c>
      <c r="AC6" s="33" t="n">
        <v>26</v>
      </c>
      <c r="AD6" s="33" t="n">
        <v>27</v>
      </c>
      <c r="AE6" s="34" t="n">
        <v>28</v>
      </c>
      <c r="AF6" s="35" t="s">
        <v>90</v>
      </c>
      <c r="AG6" s="35" t="s">
        <v>91</v>
      </c>
      <c r="AH6" s="35" t="s">
        <v>44</v>
      </c>
      <c r="AI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24" t="n">
        <f aca="false">IF($B7="","",COUNTIF(D7:AE7,"x"))</f>
        <v>0</v>
      </c>
      <c r="AG7" s="24" t="n">
        <f aca="false">IF(OR($B7="",$C7=""),"",ROUND($C7*28/7,0))</f>
        <v>28</v>
      </c>
      <c r="AH7" s="25" t="n">
        <f aca="false">IF(OR($B7="",AG7="",AG7=0),"",AF7/AG7)</f>
        <v>0</v>
      </c>
      <c r="AI7" s="24" t="n">
        <f aca="false">IF($B7="","",MAX(D21:AE21))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27" t="n">
        <f aca="false">IF($B8="","",COUNTIF(D8:AE8,"x"))</f>
        <v>0</v>
      </c>
      <c r="AG8" s="27" t="n">
        <f aca="false">IF(OR($B8="",$C8=""),"",ROUND($C8*28/7,0))</f>
        <v>20</v>
      </c>
      <c r="AH8" s="28" t="n">
        <f aca="false">IF(OR($B8="",AG8="",AG8=0),"",AF8/AG8)</f>
        <v>0</v>
      </c>
      <c r="AI8" s="27" t="n">
        <f aca="false">IF($B8="","",MAX(D22:AE22))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24" t="n">
        <f aca="false">IF($B9="","",COUNTIF(D9:AE9,"x"))</f>
        <v>0</v>
      </c>
      <c r="AG9" s="24" t="n">
        <f aca="false">IF(OR($B9="",$C9=""),"",ROUND($C9*28/7,0))</f>
        <v>4</v>
      </c>
      <c r="AH9" s="25" t="n">
        <f aca="false">IF(OR($B9="",AG9="",AG9=0),"",AF9/AG9)</f>
        <v>0</v>
      </c>
      <c r="AI9" s="24" t="n">
        <f aca="false">IF($B9="","",MAX(D23:AE23))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27" t="n">
        <f aca="false">IF($B10="","",COUNTIF(D10:AE10,"x"))</f>
        <v>0</v>
      </c>
      <c r="AG10" s="27" t="n">
        <f aca="false">IF(OR($B10="",$C10=""),"",ROUND($C10*28/7,0))</f>
        <v>12</v>
      </c>
      <c r="AH10" s="28" t="n">
        <f aca="false">IF(OR($B10="",AG10="",AG10=0),"",AF10/AG10)</f>
        <v>0</v>
      </c>
      <c r="AI10" s="27" t="n">
        <f aca="false">IF($B10="","",MAX(D24:AE24))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24" t="str">
        <f aca="false">IF($B11="","",COUNTIF(D11:AE11,"x"))</f>
        <v/>
      </c>
      <c r="AG11" s="24" t="str">
        <f aca="false">IF(OR($B11="",$C11=""),"",ROUND($C11*28/7,0))</f>
        <v/>
      </c>
      <c r="AH11" s="25" t="str">
        <f aca="false">IF(OR($B11="",AG11="",AG11=0),"",AF11/AG11)</f>
        <v/>
      </c>
      <c r="AI11" s="24" t="str">
        <f aca="false">IF($B11="","",MAX(D25:AE25))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27" t="str">
        <f aca="false">IF($B12="","",COUNTIF(D12:AE12,"x"))</f>
        <v/>
      </c>
      <c r="AG12" s="27" t="str">
        <f aca="false">IF(OR($B12="",$C12=""),"",ROUND($C12*28/7,0))</f>
        <v/>
      </c>
      <c r="AH12" s="28" t="str">
        <f aca="false">IF(OR($B12="",AG12="",AG12=0),"",AF12/AG12)</f>
        <v/>
      </c>
      <c r="AI12" s="27" t="str">
        <f aca="false">IF($B12="","",MAX(D26:AE26))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24" t="str">
        <f aca="false">IF($B13="","",COUNTIF(D13:AE13,"x"))</f>
        <v/>
      </c>
      <c r="AG13" s="24" t="str">
        <f aca="false">IF(OR($B13="",$C13=""),"",ROUND($C13*28/7,0))</f>
        <v/>
      </c>
      <c r="AH13" s="25" t="str">
        <f aca="false">IF(OR($B13="",AG13="",AG13=0),"",AF13/AG13)</f>
        <v/>
      </c>
      <c r="AI13" s="24" t="str">
        <f aca="false">IF($B13="","",MAX(D27:AE27))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27" t="str">
        <f aca="false">IF($B14="","",COUNTIF(D14:AE14,"x"))</f>
        <v/>
      </c>
      <c r="AG14" s="27" t="str">
        <f aca="false">IF(OR($B14="",$C14=""),"",ROUND($C14*28/7,0))</f>
        <v/>
      </c>
      <c r="AH14" s="28" t="str">
        <f aca="false">IF(OR($B14="",AG14="",AG14=0),"",AF14/AG14)</f>
        <v/>
      </c>
      <c r="AI14" s="27" t="str">
        <f aca="false">IF($B14="","",MAX(D28:AE28))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24" t="str">
        <f aca="false">IF($B15="","",COUNTIF(D15:AE15,"x"))</f>
        <v/>
      </c>
      <c r="AG15" s="24" t="str">
        <f aca="false">IF(OR($B15="",$C15=""),"",ROUND($C15*28/7,0))</f>
        <v/>
      </c>
      <c r="AH15" s="25" t="str">
        <f aca="false">IF(OR($B15="",AG15="",AG15=0),"",AF15/AG15)</f>
        <v/>
      </c>
      <c r="AI15" s="24" t="str">
        <f aca="false">IF($B15="","",MAX(D29:AE29))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27" t="str">
        <f aca="false">IF($B16="","",COUNTIF(D16:AE16,"x"))</f>
        <v/>
      </c>
      <c r="AG16" s="27" t="str">
        <f aca="false">IF(OR($B16="",$C16=""),"",ROUND($C16*28/7,0))</f>
        <v/>
      </c>
      <c r="AH16" s="28" t="str">
        <f aca="false">IF(OR($B16="",AG16="",AG16=0),"",AF16/AG16)</f>
        <v/>
      </c>
      <c r="AI16" s="27" t="str">
        <f aca="false">IF($B16="","",MAX(D30:AE30))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24" t="str">
        <f aca="false">IF($B17="","",COUNTIF(D17:AE17,"x"))</f>
        <v/>
      </c>
      <c r="AG17" s="24" t="str">
        <f aca="false">IF(OR($B17="",$C17=""),"",ROUND($C17*28/7,0))</f>
        <v/>
      </c>
      <c r="AH17" s="25" t="str">
        <f aca="false">IF(OR($B17="",AG17="",AG17=0),"",AF17/AG17)</f>
        <v/>
      </c>
      <c r="AI17" s="24" t="str">
        <f aca="false">IF($B17="","",MAX(D31:AE31))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27" t="str">
        <f aca="false">IF($B18="","",COUNTIF(D18:AE18,"x"))</f>
        <v/>
      </c>
      <c r="AG18" s="27" t="str">
        <f aca="false">IF(OR($B18="",$C18=""),"",ROUND($C18*28/7,0))</f>
        <v/>
      </c>
      <c r="AH18" s="28" t="str">
        <f aca="false">IF(OR($B18="",AG18="",AG18=0),"",AF18/AG18)</f>
        <v/>
      </c>
      <c r="AI18" s="27" t="str">
        <f aca="false">IF($B18="","",MAX(D32:AE32))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2"/>
      <c r="AG19" s="42"/>
      <c r="AH19" s="42"/>
      <c r="AI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</row>
  </sheetData>
  <mergeCells count="3">
    <mergeCell ref="A1:AI1"/>
    <mergeCell ref="A2:AI2"/>
    <mergeCell ref="A3:AI3"/>
  </mergeCells>
  <conditionalFormatting sqref="D7:AE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DATE(2026,2,1)=TODAY()</formula>
    </cfRule>
  </conditionalFormatting>
  <conditionalFormatting sqref="E6:E18">
    <cfRule type="expression" priority="5" aboveAverage="0" equalAverage="0" bottom="0" percent="0" rank="0" text="" dxfId="4">
      <formula>DATE(2026,2,2)=TODAY()</formula>
    </cfRule>
  </conditionalFormatting>
  <conditionalFormatting sqref="F6:F18">
    <cfRule type="expression" priority="6" aboveAverage="0" equalAverage="0" bottom="0" percent="0" rank="0" text="" dxfId="4">
      <formula>DATE(2026,2,3)=TODAY()</formula>
    </cfRule>
  </conditionalFormatting>
  <conditionalFormatting sqref="G6:G18">
    <cfRule type="expression" priority="7" aboveAverage="0" equalAverage="0" bottom="0" percent="0" rank="0" text="" dxfId="4">
      <formula>DATE(2026,2,4)=TODAY()</formula>
    </cfRule>
  </conditionalFormatting>
  <conditionalFormatting sqref="H6:H18">
    <cfRule type="expression" priority="8" aboveAverage="0" equalAverage="0" bottom="0" percent="0" rank="0" text="" dxfId="4">
      <formula>DATE(2026,2,5)=TODAY()</formula>
    </cfRule>
  </conditionalFormatting>
  <conditionalFormatting sqref="I6:I18">
    <cfRule type="expression" priority="9" aboveAverage="0" equalAverage="0" bottom="0" percent="0" rank="0" text="" dxfId="4">
      <formula>DATE(2026,2,6)=TODAY()</formula>
    </cfRule>
  </conditionalFormatting>
  <conditionalFormatting sqref="J6:J18">
    <cfRule type="expression" priority="10" aboveAverage="0" equalAverage="0" bottom="0" percent="0" rank="0" text="" dxfId="4">
      <formula>DATE(2026,2,7)=TODAY()</formula>
    </cfRule>
  </conditionalFormatting>
  <conditionalFormatting sqref="K6:K18">
    <cfRule type="expression" priority="11" aboveAverage="0" equalAverage="0" bottom="0" percent="0" rank="0" text="" dxfId="4">
      <formula>DATE(2026,2,8)=TODAY()</formula>
    </cfRule>
  </conditionalFormatting>
  <conditionalFormatting sqref="L6:L18">
    <cfRule type="expression" priority="12" aboveAverage="0" equalAverage="0" bottom="0" percent="0" rank="0" text="" dxfId="4">
      <formula>DATE(2026,2,9)=TODAY()</formula>
    </cfRule>
  </conditionalFormatting>
  <conditionalFormatting sqref="M6:M18">
    <cfRule type="expression" priority="13" aboveAverage="0" equalAverage="0" bottom="0" percent="0" rank="0" text="" dxfId="4">
      <formula>DATE(2026,2,10)=TODAY()</formula>
    </cfRule>
  </conditionalFormatting>
  <conditionalFormatting sqref="N6:N18">
    <cfRule type="expression" priority="14" aboveAverage="0" equalAverage="0" bottom="0" percent="0" rank="0" text="" dxfId="4">
      <formula>DATE(2026,2,11)=TODAY()</formula>
    </cfRule>
  </conditionalFormatting>
  <conditionalFormatting sqref="O6:O18">
    <cfRule type="expression" priority="15" aboveAverage="0" equalAverage="0" bottom="0" percent="0" rank="0" text="" dxfId="4">
      <formula>DATE(2026,2,12)=TODAY()</formula>
    </cfRule>
  </conditionalFormatting>
  <conditionalFormatting sqref="P6:P18">
    <cfRule type="expression" priority="16" aboveAverage="0" equalAverage="0" bottom="0" percent="0" rank="0" text="" dxfId="4">
      <formula>DATE(2026,2,13)=TODAY()</formula>
    </cfRule>
  </conditionalFormatting>
  <conditionalFormatting sqref="Q6:Q18">
    <cfRule type="expression" priority="17" aboveAverage="0" equalAverage="0" bottom="0" percent="0" rank="0" text="" dxfId="4">
      <formula>DATE(2026,2,14)=TODAY()</formula>
    </cfRule>
  </conditionalFormatting>
  <conditionalFormatting sqref="R6:R18">
    <cfRule type="expression" priority="18" aboveAverage="0" equalAverage="0" bottom="0" percent="0" rank="0" text="" dxfId="4">
      <formula>DATE(2026,2,15)=TODAY()</formula>
    </cfRule>
  </conditionalFormatting>
  <conditionalFormatting sqref="S6:S18">
    <cfRule type="expression" priority="19" aboveAverage="0" equalAverage="0" bottom="0" percent="0" rank="0" text="" dxfId="4">
      <formula>DATE(2026,2,16)=TODAY()</formula>
    </cfRule>
  </conditionalFormatting>
  <conditionalFormatting sqref="T6:T18">
    <cfRule type="expression" priority="20" aboveAverage="0" equalAverage="0" bottom="0" percent="0" rank="0" text="" dxfId="4">
      <formula>DATE(2026,2,17)=TODAY()</formula>
    </cfRule>
  </conditionalFormatting>
  <conditionalFormatting sqref="U6:U18">
    <cfRule type="expression" priority="21" aboveAverage="0" equalAverage="0" bottom="0" percent="0" rank="0" text="" dxfId="4">
      <formula>DATE(2026,2,18)=TODAY()</formula>
    </cfRule>
  </conditionalFormatting>
  <conditionalFormatting sqref="V6:V18">
    <cfRule type="expression" priority="22" aboveAverage="0" equalAverage="0" bottom="0" percent="0" rank="0" text="" dxfId="4">
      <formula>DATE(2026,2,19)=TODAY()</formula>
    </cfRule>
  </conditionalFormatting>
  <conditionalFormatting sqref="W6:W18">
    <cfRule type="expression" priority="23" aboveAverage="0" equalAverage="0" bottom="0" percent="0" rank="0" text="" dxfId="4">
      <formula>DATE(2026,2,20)=TODAY()</formula>
    </cfRule>
  </conditionalFormatting>
  <conditionalFormatting sqref="X6:X18">
    <cfRule type="expression" priority="24" aboveAverage="0" equalAverage="0" bottom="0" percent="0" rank="0" text="" dxfId="4">
      <formula>DATE(2026,2,21)=TODAY()</formula>
    </cfRule>
  </conditionalFormatting>
  <conditionalFormatting sqref="Y6:Y18">
    <cfRule type="expression" priority="25" aboveAverage="0" equalAverage="0" bottom="0" percent="0" rank="0" text="" dxfId="4">
      <formula>DATE(2026,2,22)=TODAY()</formula>
    </cfRule>
  </conditionalFormatting>
  <conditionalFormatting sqref="Z6:Z18">
    <cfRule type="expression" priority="26" aboveAverage="0" equalAverage="0" bottom="0" percent="0" rank="0" text="" dxfId="4">
      <formula>DATE(2026,2,23)=TODAY()</formula>
    </cfRule>
  </conditionalFormatting>
  <conditionalFormatting sqref="AA6:AA18">
    <cfRule type="expression" priority="27" aboveAverage="0" equalAverage="0" bottom="0" percent="0" rank="0" text="" dxfId="4">
      <formula>DATE(2026,2,24)=TODAY()</formula>
    </cfRule>
  </conditionalFormatting>
  <conditionalFormatting sqref="AB6:AB18">
    <cfRule type="expression" priority="28" aboveAverage="0" equalAverage="0" bottom="0" percent="0" rank="0" text="" dxfId="4">
      <formula>DATE(2026,2,25)=TODAY()</formula>
    </cfRule>
  </conditionalFormatting>
  <conditionalFormatting sqref="AC6:AC18">
    <cfRule type="expression" priority="29" aboveAverage="0" equalAverage="0" bottom="0" percent="0" rank="0" text="" dxfId="4">
      <formula>DATE(2026,2,26)=TODAY()</formula>
    </cfRule>
  </conditionalFormatting>
  <conditionalFormatting sqref="AD6:AD18">
    <cfRule type="expression" priority="30" aboveAverage="0" equalAverage="0" bottom="0" percent="0" rank="0" text="" dxfId="4">
      <formula>DATE(2026,2,27)=TODAY()</formula>
    </cfRule>
  </conditionalFormatting>
  <conditionalFormatting sqref="AE6:AE18">
    <cfRule type="expression" priority="31" aboveAverage="0" equalAverage="0" bottom="0" percent="0" rank="0" text="" dxfId="4">
      <formula>DATE(2026,2,28)=TODAY()</formula>
    </cfRule>
  </conditionalFormatting>
  <conditionalFormatting sqref="AH7:AH18">
    <cfRule type="colorScale" priority="32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E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2" t="s">
        <v>86</v>
      </c>
      <c r="E5" s="31" t="s">
        <v>87</v>
      </c>
      <c r="F5" s="31" t="s">
        <v>88</v>
      </c>
      <c r="G5" s="31" t="s">
        <v>88</v>
      </c>
      <c r="H5" s="31" t="s">
        <v>83</v>
      </c>
      <c r="I5" s="31" t="s">
        <v>84</v>
      </c>
      <c r="J5" s="32" t="s">
        <v>85</v>
      </c>
      <c r="K5" s="32" t="s">
        <v>86</v>
      </c>
      <c r="L5" s="31" t="s">
        <v>87</v>
      </c>
      <c r="M5" s="31" t="s">
        <v>88</v>
      </c>
      <c r="N5" s="31" t="s">
        <v>88</v>
      </c>
      <c r="O5" s="31" t="s">
        <v>83</v>
      </c>
      <c r="P5" s="31" t="s">
        <v>84</v>
      </c>
      <c r="Q5" s="32" t="s">
        <v>85</v>
      </c>
      <c r="R5" s="32" t="s">
        <v>86</v>
      </c>
      <c r="S5" s="31" t="s">
        <v>87</v>
      </c>
      <c r="T5" s="31" t="s">
        <v>88</v>
      </c>
      <c r="U5" s="31" t="s">
        <v>88</v>
      </c>
      <c r="V5" s="31" t="s">
        <v>83</v>
      </c>
      <c r="W5" s="31" t="s">
        <v>84</v>
      </c>
      <c r="X5" s="32" t="s">
        <v>85</v>
      </c>
      <c r="Y5" s="32" t="s">
        <v>86</v>
      </c>
      <c r="Z5" s="31" t="s">
        <v>87</v>
      </c>
      <c r="AA5" s="31" t="s">
        <v>88</v>
      </c>
      <c r="AB5" s="31" t="s">
        <v>88</v>
      </c>
      <c r="AC5" s="31" t="s">
        <v>83</v>
      </c>
      <c r="AD5" s="31" t="s">
        <v>84</v>
      </c>
      <c r="AE5" s="32" t="s">
        <v>85</v>
      </c>
      <c r="AF5" s="32" t="s">
        <v>86</v>
      </c>
      <c r="AG5" s="31" t="s">
        <v>87</v>
      </c>
      <c r="AH5" s="31" t="s">
        <v>88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4" t="n">
        <v>1</v>
      </c>
      <c r="E6" s="33" t="n">
        <v>2</v>
      </c>
      <c r="F6" s="33" t="n">
        <v>3</v>
      </c>
      <c r="G6" s="33" t="n">
        <v>4</v>
      </c>
      <c r="H6" s="33" t="n">
        <v>5</v>
      </c>
      <c r="I6" s="33" t="n">
        <v>6</v>
      </c>
      <c r="J6" s="34" t="n">
        <v>7</v>
      </c>
      <c r="K6" s="34" t="n">
        <v>8</v>
      </c>
      <c r="L6" s="33" t="n">
        <v>9</v>
      </c>
      <c r="M6" s="33" t="n">
        <v>10</v>
      </c>
      <c r="N6" s="33" t="n">
        <v>11</v>
      </c>
      <c r="O6" s="33" t="n">
        <v>12</v>
      </c>
      <c r="P6" s="33" t="n">
        <v>13</v>
      </c>
      <c r="Q6" s="34" t="n">
        <v>14</v>
      </c>
      <c r="R6" s="34" t="n">
        <v>15</v>
      </c>
      <c r="S6" s="33" t="n">
        <v>16</v>
      </c>
      <c r="T6" s="33" t="n">
        <v>17</v>
      </c>
      <c r="U6" s="33" t="n">
        <v>18</v>
      </c>
      <c r="V6" s="33" t="n">
        <v>19</v>
      </c>
      <c r="W6" s="33" t="n">
        <v>20</v>
      </c>
      <c r="X6" s="34" t="n">
        <v>21</v>
      </c>
      <c r="Y6" s="34" t="n">
        <v>22</v>
      </c>
      <c r="Z6" s="33" t="n">
        <v>23</v>
      </c>
      <c r="AA6" s="33" t="n">
        <v>24</v>
      </c>
      <c r="AB6" s="33" t="n">
        <v>25</v>
      </c>
      <c r="AC6" s="33" t="n">
        <v>26</v>
      </c>
      <c r="AD6" s="33" t="n">
        <v>27</v>
      </c>
      <c r="AE6" s="34" t="n">
        <v>28</v>
      </c>
      <c r="AF6" s="34" t="n">
        <v>29</v>
      </c>
      <c r="AG6" s="33" t="n">
        <v>30</v>
      </c>
      <c r="AH6" s="33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DATE(2026,3,1)=TODAY()</formula>
    </cfRule>
  </conditionalFormatting>
  <conditionalFormatting sqref="E6:E18">
    <cfRule type="expression" priority="5" aboveAverage="0" equalAverage="0" bottom="0" percent="0" rank="0" text="" dxfId="4">
      <formula>DATE(2026,3,2)=TODAY()</formula>
    </cfRule>
  </conditionalFormatting>
  <conditionalFormatting sqref="F6:F18">
    <cfRule type="expression" priority="6" aboveAverage="0" equalAverage="0" bottom="0" percent="0" rank="0" text="" dxfId="4">
      <formula>DATE(2026,3,3)=TODAY()</formula>
    </cfRule>
  </conditionalFormatting>
  <conditionalFormatting sqref="G6:G18">
    <cfRule type="expression" priority="7" aboveAverage="0" equalAverage="0" bottom="0" percent="0" rank="0" text="" dxfId="4">
      <formula>DATE(2026,3,4)=TODAY()</formula>
    </cfRule>
  </conditionalFormatting>
  <conditionalFormatting sqref="H6:H18">
    <cfRule type="expression" priority="8" aboveAverage="0" equalAverage="0" bottom="0" percent="0" rank="0" text="" dxfId="4">
      <formula>DATE(2026,3,5)=TODAY()</formula>
    </cfRule>
  </conditionalFormatting>
  <conditionalFormatting sqref="I6:I18">
    <cfRule type="expression" priority="9" aboveAverage="0" equalAverage="0" bottom="0" percent="0" rank="0" text="" dxfId="4">
      <formula>DATE(2026,3,6)=TODAY()</formula>
    </cfRule>
  </conditionalFormatting>
  <conditionalFormatting sqref="J6:J18">
    <cfRule type="expression" priority="10" aboveAverage="0" equalAverage="0" bottom="0" percent="0" rank="0" text="" dxfId="4">
      <formula>DATE(2026,3,7)=TODAY()</formula>
    </cfRule>
  </conditionalFormatting>
  <conditionalFormatting sqref="K6:K18">
    <cfRule type="expression" priority="11" aboveAverage="0" equalAverage="0" bottom="0" percent="0" rank="0" text="" dxfId="4">
      <formula>DATE(2026,3,8)=TODAY()</formula>
    </cfRule>
  </conditionalFormatting>
  <conditionalFormatting sqref="L6:L18">
    <cfRule type="expression" priority="12" aboveAverage="0" equalAverage="0" bottom="0" percent="0" rank="0" text="" dxfId="4">
      <formula>DATE(2026,3,9)=TODAY()</formula>
    </cfRule>
  </conditionalFormatting>
  <conditionalFormatting sqref="M6:M18">
    <cfRule type="expression" priority="13" aboveAverage="0" equalAverage="0" bottom="0" percent="0" rank="0" text="" dxfId="4">
      <formula>DATE(2026,3,10)=TODAY()</formula>
    </cfRule>
  </conditionalFormatting>
  <conditionalFormatting sqref="N6:N18">
    <cfRule type="expression" priority="14" aboveAverage="0" equalAverage="0" bottom="0" percent="0" rank="0" text="" dxfId="4">
      <formula>DATE(2026,3,11)=TODAY()</formula>
    </cfRule>
  </conditionalFormatting>
  <conditionalFormatting sqref="O6:O18">
    <cfRule type="expression" priority="15" aboveAverage="0" equalAverage="0" bottom="0" percent="0" rank="0" text="" dxfId="4">
      <formula>DATE(2026,3,12)=TODAY()</formula>
    </cfRule>
  </conditionalFormatting>
  <conditionalFormatting sqref="P6:P18">
    <cfRule type="expression" priority="16" aboveAverage="0" equalAverage="0" bottom="0" percent="0" rank="0" text="" dxfId="4">
      <formula>DATE(2026,3,13)=TODAY()</formula>
    </cfRule>
  </conditionalFormatting>
  <conditionalFormatting sqref="Q6:Q18">
    <cfRule type="expression" priority="17" aboveAverage="0" equalAverage="0" bottom="0" percent="0" rank="0" text="" dxfId="4">
      <formula>DATE(2026,3,14)=TODAY()</formula>
    </cfRule>
  </conditionalFormatting>
  <conditionalFormatting sqref="R6:R18">
    <cfRule type="expression" priority="18" aboveAverage="0" equalAverage="0" bottom="0" percent="0" rank="0" text="" dxfId="4">
      <formula>DATE(2026,3,15)=TODAY()</formula>
    </cfRule>
  </conditionalFormatting>
  <conditionalFormatting sqref="S6:S18">
    <cfRule type="expression" priority="19" aboveAverage="0" equalAverage="0" bottom="0" percent="0" rank="0" text="" dxfId="4">
      <formula>DATE(2026,3,16)=TODAY()</formula>
    </cfRule>
  </conditionalFormatting>
  <conditionalFormatting sqref="T6:T18">
    <cfRule type="expression" priority="20" aboveAverage="0" equalAverage="0" bottom="0" percent="0" rank="0" text="" dxfId="4">
      <formula>DATE(2026,3,17)=TODAY()</formula>
    </cfRule>
  </conditionalFormatting>
  <conditionalFormatting sqref="U6:U18">
    <cfRule type="expression" priority="21" aboveAverage="0" equalAverage="0" bottom="0" percent="0" rank="0" text="" dxfId="4">
      <formula>DATE(2026,3,18)=TODAY()</formula>
    </cfRule>
  </conditionalFormatting>
  <conditionalFormatting sqref="V6:V18">
    <cfRule type="expression" priority="22" aboveAverage="0" equalAverage="0" bottom="0" percent="0" rank="0" text="" dxfId="4">
      <formula>DATE(2026,3,19)=TODAY()</formula>
    </cfRule>
  </conditionalFormatting>
  <conditionalFormatting sqref="W6:W18">
    <cfRule type="expression" priority="23" aboveAverage="0" equalAverage="0" bottom="0" percent="0" rank="0" text="" dxfId="4">
      <formula>DATE(2026,3,20)=TODAY()</formula>
    </cfRule>
  </conditionalFormatting>
  <conditionalFormatting sqref="X6:X18">
    <cfRule type="expression" priority="24" aboveAverage="0" equalAverage="0" bottom="0" percent="0" rank="0" text="" dxfId="4">
      <formula>DATE(2026,3,21)=TODAY()</formula>
    </cfRule>
  </conditionalFormatting>
  <conditionalFormatting sqref="Y6:Y18">
    <cfRule type="expression" priority="25" aboveAverage="0" equalAverage="0" bottom="0" percent="0" rank="0" text="" dxfId="4">
      <formula>DATE(2026,3,22)=TODAY()</formula>
    </cfRule>
  </conditionalFormatting>
  <conditionalFormatting sqref="Z6:Z18">
    <cfRule type="expression" priority="26" aboveAverage="0" equalAverage="0" bottom="0" percent="0" rank="0" text="" dxfId="4">
      <formula>DATE(2026,3,23)=TODAY()</formula>
    </cfRule>
  </conditionalFormatting>
  <conditionalFormatting sqref="AA6:AA18">
    <cfRule type="expression" priority="27" aboveAverage="0" equalAverage="0" bottom="0" percent="0" rank="0" text="" dxfId="4">
      <formula>DATE(2026,3,24)=TODAY()</formula>
    </cfRule>
  </conditionalFormatting>
  <conditionalFormatting sqref="AB6:AB18">
    <cfRule type="expression" priority="28" aboveAverage="0" equalAverage="0" bottom="0" percent="0" rank="0" text="" dxfId="4">
      <formula>DATE(2026,3,25)=TODAY()</formula>
    </cfRule>
  </conditionalFormatting>
  <conditionalFormatting sqref="AC6:AC18">
    <cfRule type="expression" priority="29" aboveAverage="0" equalAverage="0" bottom="0" percent="0" rank="0" text="" dxfId="4">
      <formula>DATE(2026,3,26)=TODAY()</formula>
    </cfRule>
  </conditionalFormatting>
  <conditionalFormatting sqref="AD6:AD18">
    <cfRule type="expression" priority="30" aboveAverage="0" equalAverage="0" bottom="0" percent="0" rank="0" text="" dxfId="4">
      <formula>DATE(2026,3,27)=TODAY()</formula>
    </cfRule>
  </conditionalFormatting>
  <conditionalFormatting sqref="AE6:AE18">
    <cfRule type="expression" priority="31" aboveAverage="0" equalAverage="0" bottom="0" percent="0" rank="0" text="" dxfId="4">
      <formula>DATE(2026,3,28)=TODAY()</formula>
    </cfRule>
  </conditionalFormatting>
  <conditionalFormatting sqref="AF6:AF18">
    <cfRule type="expression" priority="32" aboveAverage="0" equalAverage="0" bottom="0" percent="0" rank="0" text="" dxfId="4">
      <formula>DATE(2026,3,29)=TODAY()</formula>
    </cfRule>
  </conditionalFormatting>
  <conditionalFormatting sqref="AG6:AG18">
    <cfRule type="expression" priority="33" aboveAverage="0" equalAverage="0" bottom="0" percent="0" rank="0" text="" dxfId="4">
      <formula>DATE(2026,3,30)=TODAY()</formula>
    </cfRule>
  </conditionalFormatting>
  <conditionalFormatting sqref="AH6:AH18">
    <cfRule type="expression" priority="34" aboveAverage="0" equalAverage="0" bottom="0" percent="0" rank="0" text="" dxfId="4">
      <formula>DATE(2026,3,31)=TODAY()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3" min="4" style="0" width="3.4"/>
    <col collapsed="false" customWidth="true" hidden="false" outlineLevel="0" max="37" min="34" style="0" width="10"/>
  </cols>
  <sheetData>
    <row r="1" customFormat="false" ht="25.5" hidden="false" customHeight="true" outlineLevel="0" collapsed="false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88</v>
      </c>
      <c r="E5" s="31" t="s">
        <v>83</v>
      </c>
      <c r="F5" s="31" t="s">
        <v>84</v>
      </c>
      <c r="G5" s="32" t="s">
        <v>85</v>
      </c>
      <c r="H5" s="32" t="s">
        <v>86</v>
      </c>
      <c r="I5" s="31" t="s">
        <v>87</v>
      </c>
      <c r="J5" s="31" t="s">
        <v>88</v>
      </c>
      <c r="K5" s="31" t="s">
        <v>88</v>
      </c>
      <c r="L5" s="31" t="s">
        <v>83</v>
      </c>
      <c r="M5" s="31" t="s">
        <v>84</v>
      </c>
      <c r="N5" s="32" t="s">
        <v>85</v>
      </c>
      <c r="O5" s="32" t="s">
        <v>86</v>
      </c>
      <c r="P5" s="31" t="s">
        <v>87</v>
      </c>
      <c r="Q5" s="31" t="s">
        <v>88</v>
      </c>
      <c r="R5" s="31" t="s">
        <v>88</v>
      </c>
      <c r="S5" s="31" t="s">
        <v>83</v>
      </c>
      <c r="T5" s="31" t="s">
        <v>84</v>
      </c>
      <c r="U5" s="32" t="s">
        <v>85</v>
      </c>
      <c r="V5" s="32" t="s">
        <v>86</v>
      </c>
      <c r="W5" s="31" t="s">
        <v>87</v>
      </c>
      <c r="X5" s="31" t="s">
        <v>88</v>
      </c>
      <c r="Y5" s="31" t="s">
        <v>88</v>
      </c>
      <c r="Z5" s="31" t="s">
        <v>83</v>
      </c>
      <c r="AA5" s="31" t="s">
        <v>84</v>
      </c>
      <c r="AB5" s="32" t="s">
        <v>85</v>
      </c>
      <c r="AC5" s="32" t="s">
        <v>86</v>
      </c>
      <c r="AD5" s="31" t="s">
        <v>87</v>
      </c>
      <c r="AE5" s="31" t="s">
        <v>88</v>
      </c>
      <c r="AF5" s="31" t="s">
        <v>88</v>
      </c>
      <c r="AG5" s="31" t="s">
        <v>83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3" t="n">
        <v>3</v>
      </c>
      <c r="G6" s="34" t="n">
        <v>4</v>
      </c>
      <c r="H6" s="34" t="n">
        <v>5</v>
      </c>
      <c r="I6" s="33" t="n">
        <v>6</v>
      </c>
      <c r="J6" s="33" t="n">
        <v>7</v>
      </c>
      <c r="K6" s="33" t="n">
        <v>8</v>
      </c>
      <c r="L6" s="33" t="n">
        <v>9</v>
      </c>
      <c r="M6" s="33" t="n">
        <v>10</v>
      </c>
      <c r="N6" s="34" t="n">
        <v>11</v>
      </c>
      <c r="O6" s="34" t="n">
        <v>12</v>
      </c>
      <c r="P6" s="33" t="n">
        <v>13</v>
      </c>
      <c r="Q6" s="33" t="n">
        <v>14</v>
      </c>
      <c r="R6" s="33" t="n">
        <v>15</v>
      </c>
      <c r="S6" s="33" t="n">
        <v>16</v>
      </c>
      <c r="T6" s="33" t="n">
        <v>17</v>
      </c>
      <c r="U6" s="34" t="n">
        <v>18</v>
      </c>
      <c r="V6" s="34" t="n">
        <v>19</v>
      </c>
      <c r="W6" s="33" t="n">
        <v>20</v>
      </c>
      <c r="X6" s="33" t="n">
        <v>21</v>
      </c>
      <c r="Y6" s="33" t="n">
        <v>22</v>
      </c>
      <c r="Z6" s="33" t="n">
        <v>23</v>
      </c>
      <c r="AA6" s="33" t="n">
        <v>24</v>
      </c>
      <c r="AB6" s="34" t="n">
        <v>25</v>
      </c>
      <c r="AC6" s="34" t="n">
        <v>26</v>
      </c>
      <c r="AD6" s="33" t="n">
        <v>27</v>
      </c>
      <c r="AE6" s="33" t="n">
        <v>28</v>
      </c>
      <c r="AF6" s="33" t="n">
        <v>29</v>
      </c>
      <c r="AG6" s="33" t="n">
        <v>30</v>
      </c>
      <c r="AH6" s="35" t="s">
        <v>90</v>
      </c>
      <c r="AI6" s="35" t="s">
        <v>91</v>
      </c>
      <c r="AJ6" s="35" t="s">
        <v>44</v>
      </c>
      <c r="AK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24" t="n">
        <f aca="false">IF($B7="","",COUNTIF(D7:AG7,"x"))</f>
        <v>0</v>
      </c>
      <c r="AI7" s="24" t="n">
        <f aca="false">IF(OR($B7="",$C7=""),"",ROUND($C7*30/7,0))</f>
        <v>30</v>
      </c>
      <c r="AJ7" s="25" t="n">
        <f aca="false">IF(OR($B7="",AI7="",AI7=0),"",AH7/AI7)</f>
        <v>0</v>
      </c>
      <c r="AK7" s="24" t="n">
        <f aca="false">IF($B7="","",MAX(D21:AG21))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27" t="n">
        <f aca="false">IF($B8="","",COUNTIF(D8:AG8,"x"))</f>
        <v>0</v>
      </c>
      <c r="AI8" s="27" t="n">
        <f aca="false">IF(OR($B8="",$C8=""),"",ROUND($C8*30/7,0))</f>
        <v>21</v>
      </c>
      <c r="AJ8" s="28" t="n">
        <f aca="false">IF(OR($B8="",AI8="",AI8=0),"",AH8/AI8)</f>
        <v>0</v>
      </c>
      <c r="AK8" s="27" t="n">
        <f aca="false">IF($B8="","",MAX(D22:AG22))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24" t="n">
        <f aca="false">IF($B9="","",COUNTIF(D9:AG9,"x"))</f>
        <v>0</v>
      </c>
      <c r="AI9" s="24" t="n">
        <f aca="false">IF(OR($B9="",$C9=""),"",ROUND($C9*30/7,0))</f>
        <v>4</v>
      </c>
      <c r="AJ9" s="25" t="n">
        <f aca="false">IF(OR($B9="",AI9="",AI9=0),"",AH9/AI9)</f>
        <v>0</v>
      </c>
      <c r="AK9" s="24" t="n">
        <f aca="false">IF($B9="","",MAX(D23:AG23))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27" t="n">
        <f aca="false">IF($B10="","",COUNTIF(D10:AG10,"x"))</f>
        <v>0</v>
      </c>
      <c r="AI10" s="27" t="n">
        <f aca="false">IF(OR($B10="",$C10=""),"",ROUND($C10*30/7,0))</f>
        <v>13</v>
      </c>
      <c r="AJ10" s="28" t="n">
        <f aca="false">IF(OR($B10="",AI10="",AI10=0),"",AH10/AI10)</f>
        <v>0</v>
      </c>
      <c r="AK10" s="27" t="n">
        <f aca="false">IF($B10="","",MAX(D24:AG24))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24" t="str">
        <f aca="false">IF($B11="","",COUNTIF(D11:AG11,"x"))</f>
        <v/>
      </c>
      <c r="AI11" s="24" t="str">
        <f aca="false">IF(OR($B11="",$C11=""),"",ROUND($C11*30/7,0))</f>
        <v/>
      </c>
      <c r="AJ11" s="25" t="str">
        <f aca="false">IF(OR($B11="",AI11="",AI11=0),"",AH11/AI11)</f>
        <v/>
      </c>
      <c r="AK11" s="24" t="str">
        <f aca="false">IF($B11="","",MAX(D25:AG25))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27" t="str">
        <f aca="false">IF($B12="","",COUNTIF(D12:AG12,"x"))</f>
        <v/>
      </c>
      <c r="AI12" s="27" t="str">
        <f aca="false">IF(OR($B12="",$C12=""),"",ROUND($C12*30/7,0))</f>
        <v/>
      </c>
      <c r="AJ12" s="28" t="str">
        <f aca="false">IF(OR($B12="",AI12="",AI12=0),"",AH12/AI12)</f>
        <v/>
      </c>
      <c r="AK12" s="27" t="str">
        <f aca="false">IF($B12="","",MAX(D26:AG26))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24" t="str">
        <f aca="false">IF($B13="","",COUNTIF(D13:AG13,"x"))</f>
        <v/>
      </c>
      <c r="AI13" s="24" t="str">
        <f aca="false">IF(OR($B13="",$C13=""),"",ROUND($C13*30/7,0))</f>
        <v/>
      </c>
      <c r="AJ13" s="25" t="str">
        <f aca="false">IF(OR($B13="",AI13="",AI13=0),"",AH13/AI13)</f>
        <v/>
      </c>
      <c r="AK13" s="24" t="str">
        <f aca="false">IF($B13="","",MAX(D27:AG27))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27" t="str">
        <f aca="false">IF($B14="","",COUNTIF(D14:AG14,"x"))</f>
        <v/>
      </c>
      <c r="AI14" s="27" t="str">
        <f aca="false">IF(OR($B14="",$C14=""),"",ROUND($C14*30/7,0))</f>
        <v/>
      </c>
      <c r="AJ14" s="28" t="str">
        <f aca="false">IF(OR($B14="",AI14="",AI14=0),"",AH14/AI14)</f>
        <v/>
      </c>
      <c r="AK14" s="27" t="str">
        <f aca="false">IF($B14="","",MAX(D28:AG28))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24" t="str">
        <f aca="false">IF($B15="","",COUNTIF(D15:AG15,"x"))</f>
        <v/>
      </c>
      <c r="AI15" s="24" t="str">
        <f aca="false">IF(OR($B15="",$C15=""),"",ROUND($C15*30/7,0))</f>
        <v/>
      </c>
      <c r="AJ15" s="25" t="str">
        <f aca="false">IF(OR($B15="",AI15="",AI15=0),"",AH15/AI15)</f>
        <v/>
      </c>
      <c r="AK15" s="24" t="str">
        <f aca="false">IF($B15="","",MAX(D29:AG29))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27" t="str">
        <f aca="false">IF($B16="","",COUNTIF(D16:AG16,"x"))</f>
        <v/>
      </c>
      <c r="AI16" s="27" t="str">
        <f aca="false">IF(OR($B16="",$C16=""),"",ROUND($C16*30/7,0))</f>
        <v/>
      </c>
      <c r="AJ16" s="28" t="str">
        <f aca="false">IF(OR($B16="",AI16="",AI16=0),"",AH16/AI16)</f>
        <v/>
      </c>
      <c r="AK16" s="27" t="str">
        <f aca="false">IF($B16="","",MAX(D30:AG30))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24" t="str">
        <f aca="false">IF($B17="","",COUNTIF(D17:AG17,"x"))</f>
        <v/>
      </c>
      <c r="AI17" s="24" t="str">
        <f aca="false">IF(OR($B17="",$C17=""),"",ROUND($C17*30/7,0))</f>
        <v/>
      </c>
      <c r="AJ17" s="25" t="str">
        <f aca="false">IF(OR($B17="",AI17="",AI17=0),"",AH17/AI17)</f>
        <v/>
      </c>
      <c r="AK17" s="24" t="str">
        <f aca="false">IF($B17="","",MAX(D31:AG31))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27" t="str">
        <f aca="false">IF($B18="","",COUNTIF(D18:AG18,"x"))</f>
        <v/>
      </c>
      <c r="AI18" s="27" t="str">
        <f aca="false">IF(OR($B18="",$C18=""),"",ROUND($C18*30/7,0))</f>
        <v/>
      </c>
      <c r="AJ18" s="28" t="str">
        <f aca="false">IF(OR($B18="",AI18="",AI18=0),"",AH18/AI18)</f>
        <v/>
      </c>
      <c r="AK18" s="27" t="str">
        <f aca="false">IF($B18="","",MAX(D32:AG32))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2"/>
      <c r="AI19" s="42"/>
      <c r="AJ19" s="42"/>
      <c r="AK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</row>
  </sheetData>
  <mergeCells count="3">
    <mergeCell ref="A1:AK1"/>
    <mergeCell ref="A2:AK2"/>
    <mergeCell ref="A3:AK3"/>
  </mergeCells>
  <conditionalFormatting sqref="D7:AG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DATE(2026,4,1)=TODAY()</formula>
    </cfRule>
  </conditionalFormatting>
  <conditionalFormatting sqref="E6:E18">
    <cfRule type="expression" priority="5" aboveAverage="0" equalAverage="0" bottom="0" percent="0" rank="0" text="" dxfId="4">
      <formula>DATE(2026,4,2)=TODAY()</formula>
    </cfRule>
  </conditionalFormatting>
  <conditionalFormatting sqref="F6:F18">
    <cfRule type="expression" priority="6" aboveAverage="0" equalAverage="0" bottom="0" percent="0" rank="0" text="" dxfId="4">
      <formula>DATE(2026,4,3)=TODAY()</formula>
    </cfRule>
  </conditionalFormatting>
  <conditionalFormatting sqref="G6:G18">
    <cfRule type="expression" priority="7" aboveAverage="0" equalAverage="0" bottom="0" percent="0" rank="0" text="" dxfId="4">
      <formula>DATE(2026,4,4)=TODAY()</formula>
    </cfRule>
  </conditionalFormatting>
  <conditionalFormatting sqref="H6:H18">
    <cfRule type="expression" priority="8" aboveAverage="0" equalAverage="0" bottom="0" percent="0" rank="0" text="" dxfId="4">
      <formula>DATE(2026,4,5)=TODAY()</formula>
    </cfRule>
  </conditionalFormatting>
  <conditionalFormatting sqref="I6:I18">
    <cfRule type="expression" priority="9" aboveAverage="0" equalAverage="0" bottom="0" percent="0" rank="0" text="" dxfId="4">
      <formula>DATE(2026,4,6)=TODAY()</formula>
    </cfRule>
  </conditionalFormatting>
  <conditionalFormatting sqref="J6:J18">
    <cfRule type="expression" priority="10" aboveAverage="0" equalAverage="0" bottom="0" percent="0" rank="0" text="" dxfId="4">
      <formula>DATE(2026,4,7)=TODAY()</formula>
    </cfRule>
  </conditionalFormatting>
  <conditionalFormatting sqref="K6:K18">
    <cfRule type="expression" priority="11" aboveAverage="0" equalAverage="0" bottom="0" percent="0" rank="0" text="" dxfId="4">
      <formula>DATE(2026,4,8)=TODAY()</formula>
    </cfRule>
  </conditionalFormatting>
  <conditionalFormatting sqref="L6:L18">
    <cfRule type="expression" priority="12" aboveAverage="0" equalAverage="0" bottom="0" percent="0" rank="0" text="" dxfId="4">
      <formula>DATE(2026,4,9)=TODAY()</formula>
    </cfRule>
  </conditionalFormatting>
  <conditionalFormatting sqref="M6:M18">
    <cfRule type="expression" priority="13" aboveAverage="0" equalAverage="0" bottom="0" percent="0" rank="0" text="" dxfId="4">
      <formula>DATE(2026,4,10)=TODAY()</formula>
    </cfRule>
  </conditionalFormatting>
  <conditionalFormatting sqref="N6:N18">
    <cfRule type="expression" priority="14" aboveAverage="0" equalAverage="0" bottom="0" percent="0" rank="0" text="" dxfId="4">
      <formula>DATE(2026,4,11)=TODAY()</formula>
    </cfRule>
  </conditionalFormatting>
  <conditionalFormatting sqref="O6:O18">
    <cfRule type="expression" priority="15" aboveAverage="0" equalAverage="0" bottom="0" percent="0" rank="0" text="" dxfId="4">
      <formula>DATE(2026,4,12)=TODAY()</formula>
    </cfRule>
  </conditionalFormatting>
  <conditionalFormatting sqref="P6:P18">
    <cfRule type="expression" priority="16" aboveAverage="0" equalAverage="0" bottom="0" percent="0" rank="0" text="" dxfId="4">
      <formula>DATE(2026,4,13)=TODAY()</formula>
    </cfRule>
  </conditionalFormatting>
  <conditionalFormatting sqref="Q6:Q18">
    <cfRule type="expression" priority="17" aboveAverage="0" equalAverage="0" bottom="0" percent="0" rank="0" text="" dxfId="4">
      <formula>DATE(2026,4,14)=TODAY()</formula>
    </cfRule>
  </conditionalFormatting>
  <conditionalFormatting sqref="R6:R18">
    <cfRule type="expression" priority="18" aboveAverage="0" equalAverage="0" bottom="0" percent="0" rank="0" text="" dxfId="4">
      <formula>DATE(2026,4,15)=TODAY()</formula>
    </cfRule>
  </conditionalFormatting>
  <conditionalFormatting sqref="S6:S18">
    <cfRule type="expression" priority="19" aboveAverage="0" equalAverage="0" bottom="0" percent="0" rank="0" text="" dxfId="4">
      <formula>DATE(2026,4,16)=TODAY()</formula>
    </cfRule>
  </conditionalFormatting>
  <conditionalFormatting sqref="T6:T18">
    <cfRule type="expression" priority="20" aboveAverage="0" equalAverage="0" bottom="0" percent="0" rank="0" text="" dxfId="4">
      <formula>DATE(2026,4,17)=TODAY()</formula>
    </cfRule>
  </conditionalFormatting>
  <conditionalFormatting sqref="U6:U18">
    <cfRule type="expression" priority="21" aboveAverage="0" equalAverage="0" bottom="0" percent="0" rank="0" text="" dxfId="4">
      <formula>DATE(2026,4,18)=TODAY()</formula>
    </cfRule>
  </conditionalFormatting>
  <conditionalFormatting sqref="V6:V18">
    <cfRule type="expression" priority="22" aboveAverage="0" equalAverage="0" bottom="0" percent="0" rank="0" text="" dxfId="4">
      <formula>DATE(2026,4,19)=TODAY()</formula>
    </cfRule>
  </conditionalFormatting>
  <conditionalFormatting sqref="W6:W18">
    <cfRule type="expression" priority="23" aboveAverage="0" equalAverage="0" bottom="0" percent="0" rank="0" text="" dxfId="4">
      <formula>DATE(2026,4,20)=TODAY()</formula>
    </cfRule>
  </conditionalFormatting>
  <conditionalFormatting sqref="X6:X18">
    <cfRule type="expression" priority="24" aboveAverage="0" equalAverage="0" bottom="0" percent="0" rank="0" text="" dxfId="4">
      <formula>DATE(2026,4,21)=TODAY()</formula>
    </cfRule>
  </conditionalFormatting>
  <conditionalFormatting sqref="Y6:Y18">
    <cfRule type="expression" priority="25" aboveAverage="0" equalAverage="0" bottom="0" percent="0" rank="0" text="" dxfId="4">
      <formula>DATE(2026,4,22)=TODAY()</formula>
    </cfRule>
  </conditionalFormatting>
  <conditionalFormatting sqref="Z6:Z18">
    <cfRule type="expression" priority="26" aboveAverage="0" equalAverage="0" bottom="0" percent="0" rank="0" text="" dxfId="4">
      <formula>DATE(2026,4,23)=TODAY()</formula>
    </cfRule>
  </conditionalFormatting>
  <conditionalFormatting sqref="AA6:AA18">
    <cfRule type="expression" priority="27" aboveAverage="0" equalAverage="0" bottom="0" percent="0" rank="0" text="" dxfId="4">
      <formula>DATE(2026,4,24)=TODAY()</formula>
    </cfRule>
  </conditionalFormatting>
  <conditionalFormatting sqref="AB6:AB18">
    <cfRule type="expression" priority="28" aboveAverage="0" equalAverage="0" bottom="0" percent="0" rank="0" text="" dxfId="4">
      <formula>DATE(2026,4,25)=TODAY()</formula>
    </cfRule>
  </conditionalFormatting>
  <conditionalFormatting sqref="AC6:AC18">
    <cfRule type="expression" priority="29" aboveAverage="0" equalAverage="0" bottom="0" percent="0" rank="0" text="" dxfId="4">
      <formula>DATE(2026,4,26)=TODAY()</formula>
    </cfRule>
  </conditionalFormatting>
  <conditionalFormatting sqref="AD6:AD18">
    <cfRule type="expression" priority="30" aboveAverage="0" equalAverage="0" bottom="0" percent="0" rank="0" text="" dxfId="4">
      <formula>DATE(2026,4,27)=TODAY()</formula>
    </cfRule>
  </conditionalFormatting>
  <conditionalFormatting sqref="AE6:AE18">
    <cfRule type="expression" priority="31" aboveAverage="0" equalAverage="0" bottom="0" percent="0" rank="0" text="" dxfId="4">
      <formula>DATE(2026,4,28)=TODAY()</formula>
    </cfRule>
  </conditionalFormatting>
  <conditionalFormatting sqref="AF6:AF18">
    <cfRule type="expression" priority="32" aboveAverage="0" equalAverage="0" bottom="0" percent="0" rank="0" text="" dxfId="4">
      <formula>DATE(2026,4,29)=TODAY()</formula>
    </cfRule>
  </conditionalFormatting>
  <conditionalFormatting sqref="AG6:AG18">
    <cfRule type="expression" priority="33" aboveAverage="0" equalAverage="0" bottom="0" percent="0" rank="0" text="" dxfId="4">
      <formula>DATE(2026,4,30)=TODAY()</formula>
    </cfRule>
  </conditionalFormatting>
  <conditionalFormatting sqref="AJ7:AJ18">
    <cfRule type="colorScale" priority="34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G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84</v>
      </c>
      <c r="E5" s="32" t="s">
        <v>85</v>
      </c>
      <c r="F5" s="32" t="s">
        <v>86</v>
      </c>
      <c r="G5" s="31" t="s">
        <v>87</v>
      </c>
      <c r="H5" s="31" t="s">
        <v>88</v>
      </c>
      <c r="I5" s="31" t="s">
        <v>88</v>
      </c>
      <c r="J5" s="31" t="s">
        <v>83</v>
      </c>
      <c r="K5" s="31" t="s">
        <v>84</v>
      </c>
      <c r="L5" s="32" t="s">
        <v>85</v>
      </c>
      <c r="M5" s="32" t="s">
        <v>86</v>
      </c>
      <c r="N5" s="31" t="s">
        <v>87</v>
      </c>
      <c r="O5" s="31" t="s">
        <v>88</v>
      </c>
      <c r="P5" s="31" t="s">
        <v>88</v>
      </c>
      <c r="Q5" s="31" t="s">
        <v>83</v>
      </c>
      <c r="R5" s="31" t="s">
        <v>84</v>
      </c>
      <c r="S5" s="32" t="s">
        <v>85</v>
      </c>
      <c r="T5" s="32" t="s">
        <v>86</v>
      </c>
      <c r="U5" s="31" t="s">
        <v>87</v>
      </c>
      <c r="V5" s="31" t="s">
        <v>88</v>
      </c>
      <c r="W5" s="31" t="s">
        <v>88</v>
      </c>
      <c r="X5" s="31" t="s">
        <v>83</v>
      </c>
      <c r="Y5" s="31" t="s">
        <v>84</v>
      </c>
      <c r="Z5" s="32" t="s">
        <v>85</v>
      </c>
      <c r="AA5" s="32" t="s">
        <v>86</v>
      </c>
      <c r="AB5" s="31" t="s">
        <v>87</v>
      </c>
      <c r="AC5" s="31" t="s">
        <v>88</v>
      </c>
      <c r="AD5" s="31" t="s">
        <v>88</v>
      </c>
      <c r="AE5" s="31" t="s">
        <v>83</v>
      </c>
      <c r="AF5" s="31" t="s">
        <v>84</v>
      </c>
      <c r="AG5" s="32" t="s">
        <v>85</v>
      </c>
      <c r="AH5" s="32" t="s">
        <v>86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4" t="n">
        <v>2</v>
      </c>
      <c r="F6" s="34" t="n">
        <v>3</v>
      </c>
      <c r="G6" s="33" t="n">
        <v>4</v>
      </c>
      <c r="H6" s="33" t="n">
        <v>5</v>
      </c>
      <c r="I6" s="33" t="n">
        <v>6</v>
      </c>
      <c r="J6" s="33" t="n">
        <v>7</v>
      </c>
      <c r="K6" s="33" t="n">
        <v>8</v>
      </c>
      <c r="L6" s="34" t="n">
        <v>9</v>
      </c>
      <c r="M6" s="34" t="n">
        <v>10</v>
      </c>
      <c r="N6" s="33" t="n">
        <v>11</v>
      </c>
      <c r="O6" s="33" t="n">
        <v>12</v>
      </c>
      <c r="P6" s="33" t="n">
        <v>13</v>
      </c>
      <c r="Q6" s="33" t="n">
        <v>14</v>
      </c>
      <c r="R6" s="33" t="n">
        <v>15</v>
      </c>
      <c r="S6" s="34" t="n">
        <v>16</v>
      </c>
      <c r="T6" s="34" t="n">
        <v>17</v>
      </c>
      <c r="U6" s="33" t="n">
        <v>18</v>
      </c>
      <c r="V6" s="33" t="n">
        <v>19</v>
      </c>
      <c r="W6" s="33" t="n">
        <v>20</v>
      </c>
      <c r="X6" s="33" t="n">
        <v>21</v>
      </c>
      <c r="Y6" s="33" t="n">
        <v>22</v>
      </c>
      <c r="Z6" s="34" t="n">
        <v>23</v>
      </c>
      <c r="AA6" s="34" t="n">
        <v>24</v>
      </c>
      <c r="AB6" s="33" t="n">
        <v>25</v>
      </c>
      <c r="AC6" s="33" t="n">
        <v>26</v>
      </c>
      <c r="AD6" s="33" t="n">
        <v>27</v>
      </c>
      <c r="AE6" s="33" t="n">
        <v>28</v>
      </c>
      <c r="AF6" s="33" t="n">
        <v>29</v>
      </c>
      <c r="AG6" s="34" t="n">
        <v>30</v>
      </c>
      <c r="AH6" s="34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DATE(2026,5,1)=TODAY()</formula>
    </cfRule>
  </conditionalFormatting>
  <conditionalFormatting sqref="E6:E18">
    <cfRule type="expression" priority="5" aboveAverage="0" equalAverage="0" bottom="0" percent="0" rank="0" text="" dxfId="4">
      <formula>DATE(2026,5,2)=TODAY()</formula>
    </cfRule>
  </conditionalFormatting>
  <conditionalFormatting sqref="F6:F18">
    <cfRule type="expression" priority="6" aboveAverage="0" equalAverage="0" bottom="0" percent="0" rank="0" text="" dxfId="4">
      <formula>DATE(2026,5,3)=TODAY()</formula>
    </cfRule>
  </conditionalFormatting>
  <conditionalFormatting sqref="G6:G18">
    <cfRule type="expression" priority="7" aboveAverage="0" equalAverage="0" bottom="0" percent="0" rank="0" text="" dxfId="4">
      <formula>DATE(2026,5,4)=TODAY()</formula>
    </cfRule>
  </conditionalFormatting>
  <conditionalFormatting sqref="H6:H18">
    <cfRule type="expression" priority="8" aboveAverage="0" equalAverage="0" bottom="0" percent="0" rank="0" text="" dxfId="4">
      <formula>DATE(2026,5,5)=TODAY()</formula>
    </cfRule>
  </conditionalFormatting>
  <conditionalFormatting sqref="I6:I18">
    <cfRule type="expression" priority="9" aboveAverage="0" equalAverage="0" bottom="0" percent="0" rank="0" text="" dxfId="4">
      <formula>DATE(2026,5,6)=TODAY()</formula>
    </cfRule>
  </conditionalFormatting>
  <conditionalFormatting sqref="J6:J18">
    <cfRule type="expression" priority="10" aboveAverage="0" equalAverage="0" bottom="0" percent="0" rank="0" text="" dxfId="4">
      <formula>DATE(2026,5,7)=TODAY()</formula>
    </cfRule>
  </conditionalFormatting>
  <conditionalFormatting sqref="K6:K18">
    <cfRule type="expression" priority="11" aboveAverage="0" equalAverage="0" bottom="0" percent="0" rank="0" text="" dxfId="4">
      <formula>DATE(2026,5,8)=TODAY()</formula>
    </cfRule>
  </conditionalFormatting>
  <conditionalFormatting sqref="L6:L18">
    <cfRule type="expression" priority="12" aboveAverage="0" equalAverage="0" bottom="0" percent="0" rank="0" text="" dxfId="4">
      <formula>DATE(2026,5,9)=TODAY()</formula>
    </cfRule>
  </conditionalFormatting>
  <conditionalFormatting sqref="M6:M18">
    <cfRule type="expression" priority="13" aboveAverage="0" equalAverage="0" bottom="0" percent="0" rank="0" text="" dxfId="4">
      <formula>DATE(2026,5,10)=TODAY()</formula>
    </cfRule>
  </conditionalFormatting>
  <conditionalFormatting sqref="N6:N18">
    <cfRule type="expression" priority="14" aboveAverage="0" equalAverage="0" bottom="0" percent="0" rank="0" text="" dxfId="4">
      <formula>DATE(2026,5,11)=TODAY()</formula>
    </cfRule>
  </conditionalFormatting>
  <conditionalFormatting sqref="O6:O18">
    <cfRule type="expression" priority="15" aboveAverage="0" equalAverage="0" bottom="0" percent="0" rank="0" text="" dxfId="4">
      <formula>DATE(2026,5,12)=TODAY()</formula>
    </cfRule>
  </conditionalFormatting>
  <conditionalFormatting sqref="P6:P18">
    <cfRule type="expression" priority="16" aboveAverage="0" equalAverage="0" bottom="0" percent="0" rank="0" text="" dxfId="4">
      <formula>DATE(2026,5,13)=TODAY()</formula>
    </cfRule>
  </conditionalFormatting>
  <conditionalFormatting sqref="Q6:Q18">
    <cfRule type="expression" priority="17" aboveAverage="0" equalAverage="0" bottom="0" percent="0" rank="0" text="" dxfId="4">
      <formula>DATE(2026,5,14)=TODAY()</formula>
    </cfRule>
  </conditionalFormatting>
  <conditionalFormatting sqref="R6:R18">
    <cfRule type="expression" priority="18" aboveAverage="0" equalAverage="0" bottom="0" percent="0" rank="0" text="" dxfId="4">
      <formula>DATE(2026,5,15)=TODAY()</formula>
    </cfRule>
  </conditionalFormatting>
  <conditionalFormatting sqref="S6:S18">
    <cfRule type="expression" priority="19" aboveAverage="0" equalAverage="0" bottom="0" percent="0" rank="0" text="" dxfId="4">
      <formula>DATE(2026,5,16)=TODAY()</formula>
    </cfRule>
  </conditionalFormatting>
  <conditionalFormatting sqref="T6:T18">
    <cfRule type="expression" priority="20" aboveAverage="0" equalAverage="0" bottom="0" percent="0" rank="0" text="" dxfId="4">
      <formula>DATE(2026,5,17)=TODAY()</formula>
    </cfRule>
  </conditionalFormatting>
  <conditionalFormatting sqref="U6:U18">
    <cfRule type="expression" priority="21" aboveAverage="0" equalAverage="0" bottom="0" percent="0" rank="0" text="" dxfId="4">
      <formula>DATE(2026,5,18)=TODAY()</formula>
    </cfRule>
  </conditionalFormatting>
  <conditionalFormatting sqref="V6:V18">
    <cfRule type="expression" priority="22" aboveAverage="0" equalAverage="0" bottom="0" percent="0" rank="0" text="" dxfId="4">
      <formula>DATE(2026,5,19)=TODAY()</formula>
    </cfRule>
  </conditionalFormatting>
  <conditionalFormatting sqref="W6:W18">
    <cfRule type="expression" priority="23" aboveAverage="0" equalAverage="0" bottom="0" percent="0" rank="0" text="" dxfId="4">
      <formula>DATE(2026,5,20)=TODAY()</formula>
    </cfRule>
  </conditionalFormatting>
  <conditionalFormatting sqref="X6:X18">
    <cfRule type="expression" priority="24" aboveAverage="0" equalAverage="0" bottom="0" percent="0" rank="0" text="" dxfId="4">
      <formula>DATE(2026,5,21)=TODAY()</formula>
    </cfRule>
  </conditionalFormatting>
  <conditionalFormatting sqref="Y6:Y18">
    <cfRule type="expression" priority="25" aboveAverage="0" equalAverage="0" bottom="0" percent="0" rank="0" text="" dxfId="4">
      <formula>DATE(2026,5,22)=TODAY()</formula>
    </cfRule>
  </conditionalFormatting>
  <conditionalFormatting sqref="Z6:Z18">
    <cfRule type="expression" priority="26" aboveAverage="0" equalAverage="0" bottom="0" percent="0" rank="0" text="" dxfId="4">
      <formula>DATE(2026,5,23)=TODAY()</formula>
    </cfRule>
  </conditionalFormatting>
  <conditionalFormatting sqref="AA6:AA18">
    <cfRule type="expression" priority="27" aboveAverage="0" equalAverage="0" bottom="0" percent="0" rank="0" text="" dxfId="4">
      <formula>DATE(2026,5,24)=TODAY()</formula>
    </cfRule>
  </conditionalFormatting>
  <conditionalFormatting sqref="AB6:AB18">
    <cfRule type="expression" priority="28" aboveAverage="0" equalAverage="0" bottom="0" percent="0" rank="0" text="" dxfId="4">
      <formula>DATE(2026,5,25)=TODAY()</formula>
    </cfRule>
  </conditionalFormatting>
  <conditionalFormatting sqref="AC6:AC18">
    <cfRule type="expression" priority="29" aboveAverage="0" equalAverage="0" bottom="0" percent="0" rank="0" text="" dxfId="4">
      <formula>DATE(2026,5,26)=TODAY()</formula>
    </cfRule>
  </conditionalFormatting>
  <conditionalFormatting sqref="AD6:AD18">
    <cfRule type="expression" priority="30" aboveAverage="0" equalAverage="0" bottom="0" percent="0" rank="0" text="" dxfId="4">
      <formula>DATE(2026,5,27)=TODAY()</formula>
    </cfRule>
  </conditionalFormatting>
  <conditionalFormatting sqref="AE6:AE18">
    <cfRule type="expression" priority="31" aboveAverage="0" equalAverage="0" bottom="0" percent="0" rank="0" text="" dxfId="4">
      <formula>DATE(2026,5,28)=TODAY()</formula>
    </cfRule>
  </conditionalFormatting>
  <conditionalFormatting sqref="AF6:AF18">
    <cfRule type="expression" priority="32" aboveAverage="0" equalAverage="0" bottom="0" percent="0" rank="0" text="" dxfId="4">
      <formula>DATE(2026,5,29)=TODAY()</formula>
    </cfRule>
  </conditionalFormatting>
  <conditionalFormatting sqref="AG6:AG18">
    <cfRule type="expression" priority="33" aboveAverage="0" equalAverage="0" bottom="0" percent="0" rank="0" text="" dxfId="4">
      <formula>DATE(2026,5,30)=TODAY()</formula>
    </cfRule>
  </conditionalFormatting>
  <conditionalFormatting sqref="AH6:AH18">
    <cfRule type="expression" priority="34" aboveAverage="0" equalAverage="0" bottom="0" percent="0" rank="0" text="" dxfId="4">
      <formula>DATE(2026,5,31)=TODAY()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3" min="4" style="0" width="3.4"/>
    <col collapsed="false" customWidth="true" hidden="false" outlineLevel="0" max="37" min="34" style="0" width="10"/>
  </cols>
  <sheetData>
    <row r="1" customFormat="false" ht="25.5" hidden="false" customHeight="true" outlineLevel="0" collapsed="false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87</v>
      </c>
      <c r="E5" s="31" t="s">
        <v>88</v>
      </c>
      <c r="F5" s="31" t="s">
        <v>88</v>
      </c>
      <c r="G5" s="31" t="s">
        <v>83</v>
      </c>
      <c r="H5" s="31" t="s">
        <v>84</v>
      </c>
      <c r="I5" s="32" t="s">
        <v>85</v>
      </c>
      <c r="J5" s="32" t="s">
        <v>86</v>
      </c>
      <c r="K5" s="31" t="s">
        <v>87</v>
      </c>
      <c r="L5" s="31" t="s">
        <v>88</v>
      </c>
      <c r="M5" s="31" t="s">
        <v>88</v>
      </c>
      <c r="N5" s="31" t="s">
        <v>83</v>
      </c>
      <c r="O5" s="31" t="s">
        <v>84</v>
      </c>
      <c r="P5" s="32" t="s">
        <v>85</v>
      </c>
      <c r="Q5" s="32" t="s">
        <v>86</v>
      </c>
      <c r="R5" s="31" t="s">
        <v>87</v>
      </c>
      <c r="S5" s="31" t="s">
        <v>88</v>
      </c>
      <c r="T5" s="31" t="s">
        <v>88</v>
      </c>
      <c r="U5" s="31" t="s">
        <v>83</v>
      </c>
      <c r="V5" s="31" t="s">
        <v>84</v>
      </c>
      <c r="W5" s="32" t="s">
        <v>85</v>
      </c>
      <c r="X5" s="32" t="s">
        <v>86</v>
      </c>
      <c r="Y5" s="31" t="s">
        <v>87</v>
      </c>
      <c r="Z5" s="31" t="s">
        <v>88</v>
      </c>
      <c r="AA5" s="31" t="s">
        <v>88</v>
      </c>
      <c r="AB5" s="31" t="s">
        <v>83</v>
      </c>
      <c r="AC5" s="31" t="s">
        <v>84</v>
      </c>
      <c r="AD5" s="32" t="s">
        <v>85</v>
      </c>
      <c r="AE5" s="32" t="s">
        <v>86</v>
      </c>
      <c r="AF5" s="31" t="s">
        <v>87</v>
      </c>
      <c r="AG5" s="31" t="s">
        <v>88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3" t="n">
        <v>3</v>
      </c>
      <c r="G6" s="33" t="n">
        <v>4</v>
      </c>
      <c r="H6" s="33" t="n">
        <v>5</v>
      </c>
      <c r="I6" s="34" t="n">
        <v>6</v>
      </c>
      <c r="J6" s="34" t="n">
        <v>7</v>
      </c>
      <c r="K6" s="33" t="n">
        <v>8</v>
      </c>
      <c r="L6" s="33" t="n">
        <v>9</v>
      </c>
      <c r="M6" s="33" t="n">
        <v>10</v>
      </c>
      <c r="N6" s="33" t="n">
        <v>11</v>
      </c>
      <c r="O6" s="33" t="n">
        <v>12</v>
      </c>
      <c r="P6" s="34" t="n">
        <v>13</v>
      </c>
      <c r="Q6" s="34" t="n">
        <v>14</v>
      </c>
      <c r="R6" s="33" t="n">
        <v>15</v>
      </c>
      <c r="S6" s="33" t="n">
        <v>16</v>
      </c>
      <c r="T6" s="33" t="n">
        <v>17</v>
      </c>
      <c r="U6" s="33" t="n">
        <v>18</v>
      </c>
      <c r="V6" s="33" t="n">
        <v>19</v>
      </c>
      <c r="W6" s="34" t="n">
        <v>20</v>
      </c>
      <c r="X6" s="34" t="n">
        <v>21</v>
      </c>
      <c r="Y6" s="33" t="n">
        <v>22</v>
      </c>
      <c r="Z6" s="33" t="n">
        <v>23</v>
      </c>
      <c r="AA6" s="33" t="n">
        <v>24</v>
      </c>
      <c r="AB6" s="33" t="n">
        <v>25</v>
      </c>
      <c r="AC6" s="33" t="n">
        <v>26</v>
      </c>
      <c r="AD6" s="34" t="n">
        <v>27</v>
      </c>
      <c r="AE6" s="34" t="n">
        <v>28</v>
      </c>
      <c r="AF6" s="33" t="n">
        <v>29</v>
      </c>
      <c r="AG6" s="33" t="n">
        <v>30</v>
      </c>
      <c r="AH6" s="35" t="s">
        <v>90</v>
      </c>
      <c r="AI6" s="35" t="s">
        <v>91</v>
      </c>
      <c r="AJ6" s="35" t="s">
        <v>44</v>
      </c>
      <c r="AK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24" t="n">
        <f aca="false">IF($B7="","",COUNTIF(D7:AG7,"x"))</f>
        <v>0</v>
      </c>
      <c r="AI7" s="24" t="n">
        <f aca="false">IF(OR($B7="",$C7=""),"",ROUND($C7*30/7,0))</f>
        <v>30</v>
      </c>
      <c r="AJ7" s="25" t="n">
        <f aca="false">IF(OR($B7="",AI7="",AI7=0),"",AH7/AI7)</f>
        <v>0</v>
      </c>
      <c r="AK7" s="24" t="n">
        <f aca="false">IF($B7="","",MAX(D21:AG21))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27" t="n">
        <f aca="false">IF($B8="","",COUNTIF(D8:AG8,"x"))</f>
        <v>0</v>
      </c>
      <c r="AI8" s="27" t="n">
        <f aca="false">IF(OR($B8="",$C8=""),"",ROUND($C8*30/7,0))</f>
        <v>21</v>
      </c>
      <c r="AJ8" s="28" t="n">
        <f aca="false">IF(OR($B8="",AI8="",AI8=0),"",AH8/AI8)</f>
        <v>0</v>
      </c>
      <c r="AK8" s="27" t="n">
        <f aca="false">IF($B8="","",MAX(D22:AG22))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24" t="n">
        <f aca="false">IF($B9="","",COUNTIF(D9:AG9,"x"))</f>
        <v>0</v>
      </c>
      <c r="AI9" s="24" t="n">
        <f aca="false">IF(OR($B9="",$C9=""),"",ROUND($C9*30/7,0))</f>
        <v>4</v>
      </c>
      <c r="AJ9" s="25" t="n">
        <f aca="false">IF(OR($B9="",AI9="",AI9=0),"",AH9/AI9)</f>
        <v>0</v>
      </c>
      <c r="AK9" s="24" t="n">
        <f aca="false">IF($B9="","",MAX(D23:AG23))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27" t="n">
        <f aca="false">IF($B10="","",COUNTIF(D10:AG10,"x"))</f>
        <v>0</v>
      </c>
      <c r="AI10" s="27" t="n">
        <f aca="false">IF(OR($B10="",$C10=""),"",ROUND($C10*30/7,0))</f>
        <v>13</v>
      </c>
      <c r="AJ10" s="28" t="n">
        <f aca="false">IF(OR($B10="",AI10="",AI10=0),"",AH10/AI10)</f>
        <v>0</v>
      </c>
      <c r="AK10" s="27" t="n">
        <f aca="false">IF($B10="","",MAX(D24:AG24))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24" t="str">
        <f aca="false">IF($B11="","",COUNTIF(D11:AG11,"x"))</f>
        <v/>
      </c>
      <c r="AI11" s="24" t="str">
        <f aca="false">IF(OR($B11="",$C11=""),"",ROUND($C11*30/7,0))</f>
        <v/>
      </c>
      <c r="AJ11" s="25" t="str">
        <f aca="false">IF(OR($B11="",AI11="",AI11=0),"",AH11/AI11)</f>
        <v/>
      </c>
      <c r="AK11" s="24" t="str">
        <f aca="false">IF($B11="","",MAX(D25:AG25))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27" t="str">
        <f aca="false">IF($B12="","",COUNTIF(D12:AG12,"x"))</f>
        <v/>
      </c>
      <c r="AI12" s="27" t="str">
        <f aca="false">IF(OR($B12="",$C12=""),"",ROUND($C12*30/7,0))</f>
        <v/>
      </c>
      <c r="AJ12" s="28" t="str">
        <f aca="false">IF(OR($B12="",AI12="",AI12=0),"",AH12/AI12)</f>
        <v/>
      </c>
      <c r="AK12" s="27" t="str">
        <f aca="false">IF($B12="","",MAX(D26:AG26))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24" t="str">
        <f aca="false">IF($B13="","",COUNTIF(D13:AG13,"x"))</f>
        <v/>
      </c>
      <c r="AI13" s="24" t="str">
        <f aca="false">IF(OR($B13="",$C13=""),"",ROUND($C13*30/7,0))</f>
        <v/>
      </c>
      <c r="AJ13" s="25" t="str">
        <f aca="false">IF(OR($B13="",AI13="",AI13=0),"",AH13/AI13)</f>
        <v/>
      </c>
      <c r="AK13" s="24" t="str">
        <f aca="false">IF($B13="","",MAX(D27:AG27))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27" t="str">
        <f aca="false">IF($B14="","",COUNTIF(D14:AG14,"x"))</f>
        <v/>
      </c>
      <c r="AI14" s="27" t="str">
        <f aca="false">IF(OR($B14="",$C14=""),"",ROUND($C14*30/7,0))</f>
        <v/>
      </c>
      <c r="AJ14" s="28" t="str">
        <f aca="false">IF(OR($B14="",AI14="",AI14=0),"",AH14/AI14)</f>
        <v/>
      </c>
      <c r="AK14" s="27" t="str">
        <f aca="false">IF($B14="","",MAX(D28:AG28))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24" t="str">
        <f aca="false">IF($B15="","",COUNTIF(D15:AG15,"x"))</f>
        <v/>
      </c>
      <c r="AI15" s="24" t="str">
        <f aca="false">IF(OR($B15="",$C15=""),"",ROUND($C15*30/7,0))</f>
        <v/>
      </c>
      <c r="AJ15" s="25" t="str">
        <f aca="false">IF(OR($B15="",AI15="",AI15=0),"",AH15/AI15)</f>
        <v/>
      </c>
      <c r="AK15" s="24" t="str">
        <f aca="false">IF($B15="","",MAX(D29:AG29))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27" t="str">
        <f aca="false">IF($B16="","",COUNTIF(D16:AG16,"x"))</f>
        <v/>
      </c>
      <c r="AI16" s="27" t="str">
        <f aca="false">IF(OR($B16="",$C16=""),"",ROUND($C16*30/7,0))</f>
        <v/>
      </c>
      <c r="AJ16" s="28" t="str">
        <f aca="false">IF(OR($B16="",AI16="",AI16=0),"",AH16/AI16)</f>
        <v/>
      </c>
      <c r="AK16" s="27" t="str">
        <f aca="false">IF($B16="","",MAX(D30:AG30))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24" t="str">
        <f aca="false">IF($B17="","",COUNTIF(D17:AG17,"x"))</f>
        <v/>
      </c>
      <c r="AI17" s="24" t="str">
        <f aca="false">IF(OR($B17="",$C17=""),"",ROUND($C17*30/7,0))</f>
        <v/>
      </c>
      <c r="AJ17" s="25" t="str">
        <f aca="false">IF(OR($B17="",AI17="",AI17=0),"",AH17/AI17)</f>
        <v/>
      </c>
      <c r="AK17" s="24" t="str">
        <f aca="false">IF($B17="","",MAX(D31:AG31))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27" t="str">
        <f aca="false">IF($B18="","",COUNTIF(D18:AG18,"x"))</f>
        <v/>
      </c>
      <c r="AI18" s="27" t="str">
        <f aca="false">IF(OR($B18="",$C18=""),"",ROUND($C18*30/7,0))</f>
        <v/>
      </c>
      <c r="AJ18" s="28" t="str">
        <f aca="false">IF(OR($B18="",AI18="",AI18=0),"",AH18/AI18)</f>
        <v/>
      </c>
      <c r="AK18" s="27" t="str">
        <f aca="false">IF($B18="","",MAX(D32:AG32))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2"/>
      <c r="AI19" s="42"/>
      <c r="AJ19" s="42"/>
      <c r="AK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</row>
  </sheetData>
  <mergeCells count="3">
    <mergeCell ref="A1:AK1"/>
    <mergeCell ref="A2:AK2"/>
    <mergeCell ref="A3:AK3"/>
  </mergeCells>
  <conditionalFormatting sqref="D7:AG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DATE(2026,6,1)=TODAY()</formula>
    </cfRule>
  </conditionalFormatting>
  <conditionalFormatting sqref="E6:E18">
    <cfRule type="expression" priority="5" aboveAverage="0" equalAverage="0" bottom="0" percent="0" rank="0" text="" dxfId="4">
      <formula>DATE(2026,6,2)=TODAY()</formula>
    </cfRule>
  </conditionalFormatting>
  <conditionalFormatting sqref="F6:F18">
    <cfRule type="expression" priority="6" aboveAverage="0" equalAverage="0" bottom="0" percent="0" rank="0" text="" dxfId="4">
      <formula>DATE(2026,6,3)=TODAY()</formula>
    </cfRule>
  </conditionalFormatting>
  <conditionalFormatting sqref="G6:G18">
    <cfRule type="expression" priority="7" aboveAverage="0" equalAverage="0" bottom="0" percent="0" rank="0" text="" dxfId="4">
      <formula>DATE(2026,6,4)=TODAY()</formula>
    </cfRule>
  </conditionalFormatting>
  <conditionalFormatting sqref="H6:H18">
    <cfRule type="expression" priority="8" aboveAverage="0" equalAverage="0" bottom="0" percent="0" rank="0" text="" dxfId="4">
      <formula>DATE(2026,6,5)=TODAY()</formula>
    </cfRule>
  </conditionalFormatting>
  <conditionalFormatting sqref="I6:I18">
    <cfRule type="expression" priority="9" aboveAverage="0" equalAverage="0" bottom="0" percent="0" rank="0" text="" dxfId="4">
      <formula>DATE(2026,6,6)=TODAY()</formula>
    </cfRule>
  </conditionalFormatting>
  <conditionalFormatting sqref="J6:J18">
    <cfRule type="expression" priority="10" aboveAverage="0" equalAverage="0" bottom="0" percent="0" rank="0" text="" dxfId="4">
      <formula>DATE(2026,6,7)=TODAY()</formula>
    </cfRule>
  </conditionalFormatting>
  <conditionalFormatting sqref="K6:K18">
    <cfRule type="expression" priority="11" aboveAverage="0" equalAverage="0" bottom="0" percent="0" rank="0" text="" dxfId="4">
      <formula>DATE(2026,6,8)=TODAY()</formula>
    </cfRule>
  </conditionalFormatting>
  <conditionalFormatting sqref="L6:L18">
    <cfRule type="expression" priority="12" aboveAverage="0" equalAverage="0" bottom="0" percent="0" rank="0" text="" dxfId="4">
      <formula>DATE(2026,6,9)=TODAY()</formula>
    </cfRule>
  </conditionalFormatting>
  <conditionalFormatting sqref="M6:M18">
    <cfRule type="expression" priority="13" aboveAverage="0" equalAverage="0" bottom="0" percent="0" rank="0" text="" dxfId="4">
      <formula>DATE(2026,6,10)=TODAY()</formula>
    </cfRule>
  </conditionalFormatting>
  <conditionalFormatting sqref="N6:N18">
    <cfRule type="expression" priority="14" aboveAverage="0" equalAverage="0" bottom="0" percent="0" rank="0" text="" dxfId="4">
      <formula>DATE(2026,6,11)=TODAY()</formula>
    </cfRule>
  </conditionalFormatting>
  <conditionalFormatting sqref="O6:O18">
    <cfRule type="expression" priority="15" aboveAverage="0" equalAverage="0" bottom="0" percent="0" rank="0" text="" dxfId="4">
      <formula>DATE(2026,6,12)=TODAY()</formula>
    </cfRule>
  </conditionalFormatting>
  <conditionalFormatting sqref="P6:P18">
    <cfRule type="expression" priority="16" aboveAverage="0" equalAverage="0" bottom="0" percent="0" rank="0" text="" dxfId="4">
      <formula>DATE(2026,6,13)=TODAY()</formula>
    </cfRule>
  </conditionalFormatting>
  <conditionalFormatting sqref="Q6:Q18">
    <cfRule type="expression" priority="17" aboveAverage="0" equalAverage="0" bottom="0" percent="0" rank="0" text="" dxfId="4">
      <formula>DATE(2026,6,14)=TODAY()</formula>
    </cfRule>
  </conditionalFormatting>
  <conditionalFormatting sqref="R6:R18">
    <cfRule type="expression" priority="18" aboveAverage="0" equalAverage="0" bottom="0" percent="0" rank="0" text="" dxfId="4">
      <formula>DATE(2026,6,15)=TODAY()</formula>
    </cfRule>
  </conditionalFormatting>
  <conditionalFormatting sqref="S6:S18">
    <cfRule type="expression" priority="19" aboveAverage="0" equalAverage="0" bottom="0" percent="0" rank="0" text="" dxfId="4">
      <formula>DATE(2026,6,16)=TODAY()</formula>
    </cfRule>
  </conditionalFormatting>
  <conditionalFormatting sqref="T6:T18">
    <cfRule type="expression" priority="20" aboveAverage="0" equalAverage="0" bottom="0" percent="0" rank="0" text="" dxfId="4">
      <formula>DATE(2026,6,17)=TODAY()</formula>
    </cfRule>
  </conditionalFormatting>
  <conditionalFormatting sqref="U6:U18">
    <cfRule type="expression" priority="21" aboveAverage="0" equalAverage="0" bottom="0" percent="0" rank="0" text="" dxfId="4">
      <formula>DATE(2026,6,18)=TODAY()</formula>
    </cfRule>
  </conditionalFormatting>
  <conditionalFormatting sqref="V6:V18">
    <cfRule type="expression" priority="22" aboveAverage="0" equalAverage="0" bottom="0" percent="0" rank="0" text="" dxfId="4">
      <formula>DATE(2026,6,19)=TODAY()</formula>
    </cfRule>
  </conditionalFormatting>
  <conditionalFormatting sqref="W6:W18">
    <cfRule type="expression" priority="23" aboveAverage="0" equalAverage="0" bottom="0" percent="0" rank="0" text="" dxfId="4">
      <formula>DATE(2026,6,20)=TODAY()</formula>
    </cfRule>
  </conditionalFormatting>
  <conditionalFormatting sqref="X6:X18">
    <cfRule type="expression" priority="24" aboveAverage="0" equalAverage="0" bottom="0" percent="0" rank="0" text="" dxfId="4">
      <formula>DATE(2026,6,21)=TODAY()</formula>
    </cfRule>
  </conditionalFormatting>
  <conditionalFormatting sqref="Y6:Y18">
    <cfRule type="expression" priority="25" aboveAverage="0" equalAverage="0" bottom="0" percent="0" rank="0" text="" dxfId="4">
      <formula>DATE(2026,6,22)=TODAY()</formula>
    </cfRule>
  </conditionalFormatting>
  <conditionalFormatting sqref="Z6:Z18">
    <cfRule type="expression" priority="26" aboveAverage="0" equalAverage="0" bottom="0" percent="0" rank="0" text="" dxfId="4">
      <formula>DATE(2026,6,23)=TODAY()</formula>
    </cfRule>
  </conditionalFormatting>
  <conditionalFormatting sqref="AA6:AA18">
    <cfRule type="expression" priority="27" aboveAverage="0" equalAverage="0" bottom="0" percent="0" rank="0" text="" dxfId="4">
      <formula>DATE(2026,6,24)=TODAY()</formula>
    </cfRule>
  </conditionalFormatting>
  <conditionalFormatting sqref="AB6:AB18">
    <cfRule type="expression" priority="28" aboveAverage="0" equalAverage="0" bottom="0" percent="0" rank="0" text="" dxfId="4">
      <formula>DATE(2026,6,25)=TODAY()</formula>
    </cfRule>
  </conditionalFormatting>
  <conditionalFormatting sqref="AC6:AC18">
    <cfRule type="expression" priority="29" aboveAverage="0" equalAverage="0" bottom="0" percent="0" rank="0" text="" dxfId="4">
      <formula>DATE(2026,6,26)=TODAY()</formula>
    </cfRule>
  </conditionalFormatting>
  <conditionalFormatting sqref="AD6:AD18">
    <cfRule type="expression" priority="30" aboveAverage="0" equalAverage="0" bottom="0" percent="0" rank="0" text="" dxfId="4">
      <formula>DATE(2026,6,27)=TODAY()</formula>
    </cfRule>
  </conditionalFormatting>
  <conditionalFormatting sqref="AE6:AE18">
    <cfRule type="expression" priority="31" aboveAverage="0" equalAverage="0" bottom="0" percent="0" rank="0" text="" dxfId="4">
      <formula>DATE(2026,6,28)=TODAY()</formula>
    </cfRule>
  </conditionalFormatting>
  <conditionalFormatting sqref="AF6:AF18">
    <cfRule type="expression" priority="32" aboveAverage="0" equalAverage="0" bottom="0" percent="0" rank="0" text="" dxfId="4">
      <formula>DATE(2026,6,29)=TODAY()</formula>
    </cfRule>
  </conditionalFormatting>
  <conditionalFormatting sqref="AG6:AG18">
    <cfRule type="expression" priority="33" aboveAverage="0" equalAverage="0" bottom="0" percent="0" rank="0" text="" dxfId="4">
      <formula>DATE(2026,6,30)=TODAY()</formula>
    </cfRule>
  </conditionalFormatting>
  <conditionalFormatting sqref="AJ7:AJ18">
    <cfRule type="colorScale" priority="34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G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100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88</v>
      </c>
      <c r="E5" s="31" t="s">
        <v>83</v>
      </c>
      <c r="F5" s="31" t="s">
        <v>84</v>
      </c>
      <c r="G5" s="32" t="s">
        <v>85</v>
      </c>
      <c r="H5" s="32" t="s">
        <v>86</v>
      </c>
      <c r="I5" s="31" t="s">
        <v>87</v>
      </c>
      <c r="J5" s="31" t="s">
        <v>88</v>
      </c>
      <c r="K5" s="31" t="s">
        <v>88</v>
      </c>
      <c r="L5" s="31" t="s">
        <v>83</v>
      </c>
      <c r="M5" s="31" t="s">
        <v>84</v>
      </c>
      <c r="N5" s="32" t="s">
        <v>85</v>
      </c>
      <c r="O5" s="32" t="s">
        <v>86</v>
      </c>
      <c r="P5" s="31" t="s">
        <v>87</v>
      </c>
      <c r="Q5" s="31" t="s">
        <v>88</v>
      </c>
      <c r="R5" s="31" t="s">
        <v>88</v>
      </c>
      <c r="S5" s="31" t="s">
        <v>83</v>
      </c>
      <c r="T5" s="31" t="s">
        <v>84</v>
      </c>
      <c r="U5" s="32" t="s">
        <v>85</v>
      </c>
      <c r="V5" s="32" t="s">
        <v>86</v>
      </c>
      <c r="W5" s="31" t="s">
        <v>87</v>
      </c>
      <c r="X5" s="31" t="s">
        <v>88</v>
      </c>
      <c r="Y5" s="31" t="s">
        <v>88</v>
      </c>
      <c r="Z5" s="31" t="s">
        <v>83</v>
      </c>
      <c r="AA5" s="31" t="s">
        <v>84</v>
      </c>
      <c r="AB5" s="32" t="s">
        <v>85</v>
      </c>
      <c r="AC5" s="32" t="s">
        <v>86</v>
      </c>
      <c r="AD5" s="31" t="s">
        <v>87</v>
      </c>
      <c r="AE5" s="31" t="s">
        <v>88</v>
      </c>
      <c r="AF5" s="31" t="s">
        <v>88</v>
      </c>
      <c r="AG5" s="31" t="s">
        <v>83</v>
      </c>
      <c r="AH5" s="31" t="s">
        <v>84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3" t="n">
        <v>3</v>
      </c>
      <c r="G6" s="34" t="n">
        <v>4</v>
      </c>
      <c r="H6" s="34" t="n">
        <v>5</v>
      </c>
      <c r="I6" s="33" t="n">
        <v>6</v>
      </c>
      <c r="J6" s="33" t="n">
        <v>7</v>
      </c>
      <c r="K6" s="33" t="n">
        <v>8</v>
      </c>
      <c r="L6" s="33" t="n">
        <v>9</v>
      </c>
      <c r="M6" s="33" t="n">
        <v>10</v>
      </c>
      <c r="N6" s="34" t="n">
        <v>11</v>
      </c>
      <c r="O6" s="34" t="n">
        <v>12</v>
      </c>
      <c r="P6" s="33" t="n">
        <v>13</v>
      </c>
      <c r="Q6" s="33" t="n">
        <v>14</v>
      </c>
      <c r="R6" s="33" t="n">
        <v>15</v>
      </c>
      <c r="S6" s="33" t="n">
        <v>16</v>
      </c>
      <c r="T6" s="33" t="n">
        <v>17</v>
      </c>
      <c r="U6" s="34" t="n">
        <v>18</v>
      </c>
      <c r="V6" s="34" t="n">
        <v>19</v>
      </c>
      <c r="W6" s="33" t="n">
        <v>20</v>
      </c>
      <c r="X6" s="33" t="n">
        <v>21</v>
      </c>
      <c r="Y6" s="33" t="n">
        <v>22</v>
      </c>
      <c r="Z6" s="33" t="n">
        <v>23</v>
      </c>
      <c r="AA6" s="33" t="n">
        <v>24</v>
      </c>
      <c r="AB6" s="34" t="n">
        <v>25</v>
      </c>
      <c r="AC6" s="34" t="n">
        <v>26</v>
      </c>
      <c r="AD6" s="33" t="n">
        <v>27</v>
      </c>
      <c r="AE6" s="33" t="n">
        <v>28</v>
      </c>
      <c r="AF6" s="33" t="n">
        <v>29</v>
      </c>
      <c r="AG6" s="33" t="n">
        <v>30</v>
      </c>
      <c r="AH6" s="33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DATE(2026,7,1)=TODAY()</formula>
    </cfRule>
  </conditionalFormatting>
  <conditionalFormatting sqref="E6:E18">
    <cfRule type="expression" priority="5" aboveAverage="0" equalAverage="0" bottom="0" percent="0" rank="0" text="" dxfId="4">
      <formula>DATE(2026,7,2)=TODAY()</formula>
    </cfRule>
  </conditionalFormatting>
  <conditionalFormatting sqref="F6:F18">
    <cfRule type="expression" priority="6" aboveAverage="0" equalAverage="0" bottom="0" percent="0" rank="0" text="" dxfId="4">
      <formula>DATE(2026,7,3)=TODAY()</formula>
    </cfRule>
  </conditionalFormatting>
  <conditionalFormatting sqref="G6:G18">
    <cfRule type="expression" priority="7" aboveAverage="0" equalAverage="0" bottom="0" percent="0" rank="0" text="" dxfId="4">
      <formula>DATE(2026,7,4)=TODAY()</formula>
    </cfRule>
  </conditionalFormatting>
  <conditionalFormatting sqref="H6:H18">
    <cfRule type="expression" priority="8" aboveAverage="0" equalAverage="0" bottom="0" percent="0" rank="0" text="" dxfId="4">
      <formula>DATE(2026,7,5)=TODAY()</formula>
    </cfRule>
  </conditionalFormatting>
  <conditionalFormatting sqref="I6:I18">
    <cfRule type="expression" priority="9" aboveAverage="0" equalAverage="0" bottom="0" percent="0" rank="0" text="" dxfId="4">
      <formula>DATE(2026,7,6)=TODAY()</formula>
    </cfRule>
  </conditionalFormatting>
  <conditionalFormatting sqref="J6:J18">
    <cfRule type="expression" priority="10" aboveAverage="0" equalAverage="0" bottom="0" percent="0" rank="0" text="" dxfId="4">
      <formula>DATE(2026,7,7)=TODAY()</formula>
    </cfRule>
  </conditionalFormatting>
  <conditionalFormatting sqref="K6:K18">
    <cfRule type="expression" priority="11" aboveAverage="0" equalAverage="0" bottom="0" percent="0" rank="0" text="" dxfId="4">
      <formula>DATE(2026,7,8)=TODAY()</formula>
    </cfRule>
  </conditionalFormatting>
  <conditionalFormatting sqref="L6:L18">
    <cfRule type="expression" priority="12" aboveAverage="0" equalAverage="0" bottom="0" percent="0" rank="0" text="" dxfId="4">
      <formula>DATE(2026,7,9)=TODAY()</formula>
    </cfRule>
  </conditionalFormatting>
  <conditionalFormatting sqref="M6:M18">
    <cfRule type="expression" priority="13" aboveAverage="0" equalAverage="0" bottom="0" percent="0" rank="0" text="" dxfId="4">
      <formula>DATE(2026,7,10)=TODAY()</formula>
    </cfRule>
  </conditionalFormatting>
  <conditionalFormatting sqref="N6:N18">
    <cfRule type="expression" priority="14" aboveAverage="0" equalAverage="0" bottom="0" percent="0" rank="0" text="" dxfId="4">
      <formula>DATE(2026,7,11)=TODAY()</formula>
    </cfRule>
  </conditionalFormatting>
  <conditionalFormatting sqref="O6:O18">
    <cfRule type="expression" priority="15" aboveAverage="0" equalAverage="0" bottom="0" percent="0" rank="0" text="" dxfId="4">
      <formula>DATE(2026,7,12)=TODAY()</formula>
    </cfRule>
  </conditionalFormatting>
  <conditionalFormatting sqref="P6:P18">
    <cfRule type="expression" priority="16" aboveAverage="0" equalAverage="0" bottom="0" percent="0" rank="0" text="" dxfId="4">
      <formula>DATE(2026,7,13)=TODAY()</formula>
    </cfRule>
  </conditionalFormatting>
  <conditionalFormatting sqref="Q6:Q18">
    <cfRule type="expression" priority="17" aboveAverage="0" equalAverage="0" bottom="0" percent="0" rank="0" text="" dxfId="4">
      <formula>DATE(2026,7,14)=TODAY()</formula>
    </cfRule>
  </conditionalFormatting>
  <conditionalFormatting sqref="R6:R18">
    <cfRule type="expression" priority="18" aboveAverage="0" equalAverage="0" bottom="0" percent="0" rank="0" text="" dxfId="4">
      <formula>DATE(2026,7,15)=TODAY()</formula>
    </cfRule>
  </conditionalFormatting>
  <conditionalFormatting sqref="S6:S18">
    <cfRule type="expression" priority="19" aboveAverage="0" equalAverage="0" bottom="0" percent="0" rank="0" text="" dxfId="4">
      <formula>DATE(2026,7,16)=TODAY()</formula>
    </cfRule>
  </conditionalFormatting>
  <conditionalFormatting sqref="T6:T18">
    <cfRule type="expression" priority="20" aboveAverage="0" equalAverage="0" bottom="0" percent="0" rank="0" text="" dxfId="4">
      <formula>DATE(2026,7,17)=TODAY()</formula>
    </cfRule>
  </conditionalFormatting>
  <conditionalFormatting sqref="U6:U18">
    <cfRule type="expression" priority="21" aboveAverage="0" equalAverage="0" bottom="0" percent="0" rank="0" text="" dxfId="4">
      <formula>DATE(2026,7,18)=TODAY()</formula>
    </cfRule>
  </conditionalFormatting>
  <conditionalFormatting sqref="V6:V18">
    <cfRule type="expression" priority="22" aboveAverage="0" equalAverage="0" bottom="0" percent="0" rank="0" text="" dxfId="4">
      <formula>DATE(2026,7,19)=TODAY()</formula>
    </cfRule>
  </conditionalFormatting>
  <conditionalFormatting sqref="W6:W18">
    <cfRule type="expression" priority="23" aboveAverage="0" equalAverage="0" bottom="0" percent="0" rank="0" text="" dxfId="4">
      <formula>DATE(2026,7,20)=TODAY()</formula>
    </cfRule>
  </conditionalFormatting>
  <conditionalFormatting sqref="X6:X18">
    <cfRule type="expression" priority="24" aboveAverage="0" equalAverage="0" bottom="0" percent="0" rank="0" text="" dxfId="4">
      <formula>DATE(2026,7,21)=TODAY()</formula>
    </cfRule>
  </conditionalFormatting>
  <conditionalFormatting sqref="Y6:Y18">
    <cfRule type="expression" priority="25" aboveAverage="0" equalAverage="0" bottom="0" percent="0" rank="0" text="" dxfId="4">
      <formula>DATE(2026,7,22)=TODAY()</formula>
    </cfRule>
  </conditionalFormatting>
  <conditionalFormatting sqref="Z6:Z18">
    <cfRule type="expression" priority="26" aboveAverage="0" equalAverage="0" bottom="0" percent="0" rank="0" text="" dxfId="4">
      <formula>DATE(2026,7,23)=TODAY()</formula>
    </cfRule>
  </conditionalFormatting>
  <conditionalFormatting sqref="AA6:AA18">
    <cfRule type="expression" priority="27" aboveAverage="0" equalAverage="0" bottom="0" percent="0" rank="0" text="" dxfId="4">
      <formula>DATE(2026,7,24)=TODAY()</formula>
    </cfRule>
  </conditionalFormatting>
  <conditionalFormatting sqref="AB6:AB18">
    <cfRule type="expression" priority="28" aboveAverage="0" equalAverage="0" bottom="0" percent="0" rank="0" text="" dxfId="4">
      <formula>DATE(2026,7,25)=TODAY()</formula>
    </cfRule>
  </conditionalFormatting>
  <conditionalFormatting sqref="AC6:AC18">
    <cfRule type="expression" priority="29" aboveAverage="0" equalAverage="0" bottom="0" percent="0" rank="0" text="" dxfId="4">
      <formula>DATE(2026,7,26)=TODAY()</formula>
    </cfRule>
  </conditionalFormatting>
  <conditionalFormatting sqref="AD6:AD18">
    <cfRule type="expression" priority="30" aboveAverage="0" equalAverage="0" bottom="0" percent="0" rank="0" text="" dxfId="4">
      <formula>DATE(2026,7,27)=TODAY()</formula>
    </cfRule>
  </conditionalFormatting>
  <conditionalFormatting sqref="AE6:AE18">
    <cfRule type="expression" priority="31" aboveAverage="0" equalAverage="0" bottom="0" percent="0" rank="0" text="" dxfId="4">
      <formula>DATE(2026,7,28)=TODAY()</formula>
    </cfRule>
  </conditionalFormatting>
  <conditionalFormatting sqref="AF6:AF18">
    <cfRule type="expression" priority="32" aboveAverage="0" equalAverage="0" bottom="0" percent="0" rank="0" text="" dxfId="4">
      <formula>DATE(2026,7,29)=TODAY()</formula>
    </cfRule>
  </conditionalFormatting>
  <conditionalFormatting sqref="AG6:AG18">
    <cfRule type="expression" priority="33" aboveAverage="0" equalAverage="0" bottom="0" percent="0" rank="0" text="" dxfId="4">
      <formula>DATE(2026,7,30)=TODAY()</formula>
    </cfRule>
  </conditionalFormatting>
  <conditionalFormatting sqref="AH6:AH18">
    <cfRule type="expression" priority="34" aboveAverage="0" equalAverage="0" bottom="0" percent="0" rank="0" text="" dxfId="4">
      <formula>DATE(2026,7,31)=TODAY()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101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2" t="s">
        <v>85</v>
      </c>
      <c r="E5" s="32" t="s">
        <v>86</v>
      </c>
      <c r="F5" s="31" t="s">
        <v>87</v>
      </c>
      <c r="G5" s="31" t="s">
        <v>88</v>
      </c>
      <c r="H5" s="31" t="s">
        <v>88</v>
      </c>
      <c r="I5" s="31" t="s">
        <v>83</v>
      </c>
      <c r="J5" s="31" t="s">
        <v>84</v>
      </c>
      <c r="K5" s="32" t="s">
        <v>85</v>
      </c>
      <c r="L5" s="32" t="s">
        <v>86</v>
      </c>
      <c r="M5" s="31" t="s">
        <v>87</v>
      </c>
      <c r="N5" s="31" t="s">
        <v>88</v>
      </c>
      <c r="O5" s="31" t="s">
        <v>88</v>
      </c>
      <c r="P5" s="31" t="s">
        <v>83</v>
      </c>
      <c r="Q5" s="31" t="s">
        <v>84</v>
      </c>
      <c r="R5" s="32" t="s">
        <v>85</v>
      </c>
      <c r="S5" s="32" t="s">
        <v>86</v>
      </c>
      <c r="T5" s="31" t="s">
        <v>87</v>
      </c>
      <c r="U5" s="31" t="s">
        <v>88</v>
      </c>
      <c r="V5" s="31" t="s">
        <v>88</v>
      </c>
      <c r="W5" s="31" t="s">
        <v>83</v>
      </c>
      <c r="X5" s="31" t="s">
        <v>84</v>
      </c>
      <c r="Y5" s="32" t="s">
        <v>85</v>
      </c>
      <c r="Z5" s="32" t="s">
        <v>86</v>
      </c>
      <c r="AA5" s="31" t="s">
        <v>87</v>
      </c>
      <c r="AB5" s="31" t="s">
        <v>88</v>
      </c>
      <c r="AC5" s="31" t="s">
        <v>88</v>
      </c>
      <c r="AD5" s="31" t="s">
        <v>83</v>
      </c>
      <c r="AE5" s="31" t="s">
        <v>84</v>
      </c>
      <c r="AF5" s="32" t="s">
        <v>85</v>
      </c>
      <c r="AG5" s="32" t="s">
        <v>86</v>
      </c>
      <c r="AH5" s="31" t="s">
        <v>87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4" t="n">
        <v>1</v>
      </c>
      <c r="E6" s="34" t="n">
        <v>2</v>
      </c>
      <c r="F6" s="33" t="n">
        <v>3</v>
      </c>
      <c r="G6" s="33" t="n">
        <v>4</v>
      </c>
      <c r="H6" s="33" t="n">
        <v>5</v>
      </c>
      <c r="I6" s="33" t="n">
        <v>6</v>
      </c>
      <c r="J6" s="33" t="n">
        <v>7</v>
      </c>
      <c r="K6" s="34" t="n">
        <v>8</v>
      </c>
      <c r="L6" s="34" t="n">
        <v>9</v>
      </c>
      <c r="M6" s="33" t="n">
        <v>10</v>
      </c>
      <c r="N6" s="33" t="n">
        <v>11</v>
      </c>
      <c r="O6" s="33" t="n">
        <v>12</v>
      </c>
      <c r="P6" s="33" t="n">
        <v>13</v>
      </c>
      <c r="Q6" s="33" t="n">
        <v>14</v>
      </c>
      <c r="R6" s="34" t="n">
        <v>15</v>
      </c>
      <c r="S6" s="34" t="n">
        <v>16</v>
      </c>
      <c r="T6" s="33" t="n">
        <v>17</v>
      </c>
      <c r="U6" s="33" t="n">
        <v>18</v>
      </c>
      <c r="V6" s="33" t="n">
        <v>19</v>
      </c>
      <c r="W6" s="33" t="n">
        <v>20</v>
      </c>
      <c r="X6" s="33" t="n">
        <v>21</v>
      </c>
      <c r="Y6" s="34" t="n">
        <v>22</v>
      </c>
      <c r="Z6" s="34" t="n">
        <v>23</v>
      </c>
      <c r="AA6" s="33" t="n">
        <v>24</v>
      </c>
      <c r="AB6" s="33" t="n">
        <v>25</v>
      </c>
      <c r="AC6" s="33" t="n">
        <v>26</v>
      </c>
      <c r="AD6" s="33" t="n">
        <v>27</v>
      </c>
      <c r="AE6" s="33" t="n">
        <v>28</v>
      </c>
      <c r="AF6" s="34" t="n">
        <v>29</v>
      </c>
      <c r="AG6" s="34" t="n">
        <v>30</v>
      </c>
      <c r="AH6" s="33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DATE(2026,8,1)=TODAY()</formula>
    </cfRule>
  </conditionalFormatting>
  <conditionalFormatting sqref="E6:E18">
    <cfRule type="expression" priority="5" aboveAverage="0" equalAverage="0" bottom="0" percent="0" rank="0" text="" dxfId="4">
      <formula>DATE(2026,8,2)=TODAY()</formula>
    </cfRule>
  </conditionalFormatting>
  <conditionalFormatting sqref="F6:F18">
    <cfRule type="expression" priority="6" aboveAverage="0" equalAverage="0" bottom="0" percent="0" rank="0" text="" dxfId="4">
      <formula>DATE(2026,8,3)=TODAY()</formula>
    </cfRule>
  </conditionalFormatting>
  <conditionalFormatting sqref="G6:G18">
    <cfRule type="expression" priority="7" aboveAverage="0" equalAverage="0" bottom="0" percent="0" rank="0" text="" dxfId="4">
      <formula>DATE(2026,8,4)=TODAY()</formula>
    </cfRule>
  </conditionalFormatting>
  <conditionalFormatting sqref="H6:H18">
    <cfRule type="expression" priority="8" aboveAverage="0" equalAverage="0" bottom="0" percent="0" rank="0" text="" dxfId="4">
      <formula>DATE(2026,8,5)=TODAY()</formula>
    </cfRule>
  </conditionalFormatting>
  <conditionalFormatting sqref="I6:I18">
    <cfRule type="expression" priority="9" aboveAverage="0" equalAverage="0" bottom="0" percent="0" rank="0" text="" dxfId="4">
      <formula>DATE(2026,8,6)=TODAY()</formula>
    </cfRule>
  </conditionalFormatting>
  <conditionalFormatting sqref="J6:J18">
    <cfRule type="expression" priority="10" aboveAverage="0" equalAverage="0" bottom="0" percent="0" rank="0" text="" dxfId="4">
      <formula>DATE(2026,8,7)=TODAY()</formula>
    </cfRule>
  </conditionalFormatting>
  <conditionalFormatting sqref="K6:K18">
    <cfRule type="expression" priority="11" aboveAverage="0" equalAverage="0" bottom="0" percent="0" rank="0" text="" dxfId="4">
      <formula>DATE(2026,8,8)=TODAY()</formula>
    </cfRule>
  </conditionalFormatting>
  <conditionalFormatting sqref="L6:L18">
    <cfRule type="expression" priority="12" aboveAverage="0" equalAverage="0" bottom="0" percent="0" rank="0" text="" dxfId="4">
      <formula>DATE(2026,8,9)=TODAY()</formula>
    </cfRule>
  </conditionalFormatting>
  <conditionalFormatting sqref="M6:M18">
    <cfRule type="expression" priority="13" aboveAverage="0" equalAverage="0" bottom="0" percent="0" rank="0" text="" dxfId="4">
      <formula>DATE(2026,8,10)=TODAY()</formula>
    </cfRule>
  </conditionalFormatting>
  <conditionalFormatting sqref="N6:N18">
    <cfRule type="expression" priority="14" aboveAverage="0" equalAverage="0" bottom="0" percent="0" rank="0" text="" dxfId="4">
      <formula>DATE(2026,8,11)=TODAY()</formula>
    </cfRule>
  </conditionalFormatting>
  <conditionalFormatting sqref="O6:O18">
    <cfRule type="expression" priority="15" aboveAverage="0" equalAverage="0" bottom="0" percent="0" rank="0" text="" dxfId="4">
      <formula>DATE(2026,8,12)=TODAY()</formula>
    </cfRule>
  </conditionalFormatting>
  <conditionalFormatting sqref="P6:P18">
    <cfRule type="expression" priority="16" aboveAverage="0" equalAverage="0" bottom="0" percent="0" rank="0" text="" dxfId="4">
      <formula>DATE(2026,8,13)=TODAY()</formula>
    </cfRule>
  </conditionalFormatting>
  <conditionalFormatting sqref="Q6:Q18">
    <cfRule type="expression" priority="17" aboveAverage="0" equalAverage="0" bottom="0" percent="0" rank="0" text="" dxfId="4">
      <formula>DATE(2026,8,14)=TODAY()</formula>
    </cfRule>
  </conditionalFormatting>
  <conditionalFormatting sqref="R6:R18">
    <cfRule type="expression" priority="18" aboveAverage="0" equalAverage="0" bottom="0" percent="0" rank="0" text="" dxfId="4">
      <formula>DATE(2026,8,15)=TODAY()</formula>
    </cfRule>
  </conditionalFormatting>
  <conditionalFormatting sqref="S6:S18">
    <cfRule type="expression" priority="19" aboveAverage="0" equalAverage="0" bottom="0" percent="0" rank="0" text="" dxfId="4">
      <formula>DATE(2026,8,16)=TODAY()</formula>
    </cfRule>
  </conditionalFormatting>
  <conditionalFormatting sqref="T6:T18">
    <cfRule type="expression" priority="20" aboveAverage="0" equalAverage="0" bottom="0" percent="0" rank="0" text="" dxfId="4">
      <formula>DATE(2026,8,17)=TODAY()</formula>
    </cfRule>
  </conditionalFormatting>
  <conditionalFormatting sqref="U6:U18">
    <cfRule type="expression" priority="21" aboveAverage="0" equalAverage="0" bottom="0" percent="0" rank="0" text="" dxfId="4">
      <formula>DATE(2026,8,18)=TODAY()</formula>
    </cfRule>
  </conditionalFormatting>
  <conditionalFormatting sqref="V6:V18">
    <cfRule type="expression" priority="22" aboveAverage="0" equalAverage="0" bottom="0" percent="0" rank="0" text="" dxfId="4">
      <formula>DATE(2026,8,19)=TODAY()</formula>
    </cfRule>
  </conditionalFormatting>
  <conditionalFormatting sqref="W6:W18">
    <cfRule type="expression" priority="23" aboveAverage="0" equalAverage="0" bottom="0" percent="0" rank="0" text="" dxfId="4">
      <formula>DATE(2026,8,20)=TODAY()</formula>
    </cfRule>
  </conditionalFormatting>
  <conditionalFormatting sqref="X6:X18">
    <cfRule type="expression" priority="24" aboveAverage="0" equalAverage="0" bottom="0" percent="0" rank="0" text="" dxfId="4">
      <formula>DATE(2026,8,21)=TODAY()</formula>
    </cfRule>
  </conditionalFormatting>
  <conditionalFormatting sqref="Y6:Y18">
    <cfRule type="expression" priority="25" aboveAverage="0" equalAverage="0" bottom="0" percent="0" rank="0" text="" dxfId="4">
      <formula>DATE(2026,8,22)=TODAY()</formula>
    </cfRule>
  </conditionalFormatting>
  <conditionalFormatting sqref="Z6:Z18">
    <cfRule type="expression" priority="26" aboveAverage="0" equalAverage="0" bottom="0" percent="0" rank="0" text="" dxfId="4">
      <formula>DATE(2026,8,23)=TODAY()</formula>
    </cfRule>
  </conditionalFormatting>
  <conditionalFormatting sqref="AA6:AA18">
    <cfRule type="expression" priority="27" aboveAverage="0" equalAverage="0" bottom="0" percent="0" rank="0" text="" dxfId="4">
      <formula>DATE(2026,8,24)=TODAY()</formula>
    </cfRule>
  </conditionalFormatting>
  <conditionalFormatting sqref="AB6:AB18">
    <cfRule type="expression" priority="28" aboveAverage="0" equalAverage="0" bottom="0" percent="0" rank="0" text="" dxfId="4">
      <formula>DATE(2026,8,25)=TODAY()</formula>
    </cfRule>
  </conditionalFormatting>
  <conditionalFormatting sqref="AC6:AC18">
    <cfRule type="expression" priority="29" aboveAverage="0" equalAverage="0" bottom="0" percent="0" rank="0" text="" dxfId="4">
      <formula>DATE(2026,8,26)=TODAY()</formula>
    </cfRule>
  </conditionalFormatting>
  <conditionalFormatting sqref="AD6:AD18">
    <cfRule type="expression" priority="30" aboveAverage="0" equalAverage="0" bottom="0" percent="0" rank="0" text="" dxfId="4">
      <formula>DATE(2026,8,27)=TODAY()</formula>
    </cfRule>
  </conditionalFormatting>
  <conditionalFormatting sqref="AE6:AE18">
    <cfRule type="expression" priority="31" aboveAverage="0" equalAverage="0" bottom="0" percent="0" rank="0" text="" dxfId="4">
      <formula>DATE(2026,8,28)=TODAY()</formula>
    </cfRule>
  </conditionalFormatting>
  <conditionalFormatting sqref="AF6:AF18">
    <cfRule type="expression" priority="32" aboveAverage="0" equalAverage="0" bottom="0" percent="0" rank="0" text="" dxfId="4">
      <formula>DATE(2026,8,29)=TODAY()</formula>
    </cfRule>
  </conditionalFormatting>
  <conditionalFormatting sqref="AG6:AG18">
    <cfRule type="expression" priority="33" aboveAverage="0" equalAverage="0" bottom="0" percent="0" rank="0" text="" dxfId="4">
      <formula>DATE(2026,8,30)=TODAY()</formula>
    </cfRule>
  </conditionalFormatting>
  <conditionalFormatting sqref="AH6:AH18">
    <cfRule type="expression" priority="34" aboveAverage="0" equalAverage="0" bottom="0" percent="0" rank="0" text="" dxfId="4">
      <formula>DATE(2026,8,31)=TODAY()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3" min="4" style="0" width="3.4"/>
    <col collapsed="false" customWidth="true" hidden="false" outlineLevel="0" max="37" min="34" style="0" width="10"/>
  </cols>
  <sheetData>
    <row r="1" customFormat="false" ht="25.5" hidden="false" customHeight="true" outlineLevel="0" collapsed="false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88</v>
      </c>
      <c r="E5" s="31" t="s">
        <v>88</v>
      </c>
      <c r="F5" s="31" t="s">
        <v>83</v>
      </c>
      <c r="G5" s="31" t="s">
        <v>84</v>
      </c>
      <c r="H5" s="32" t="s">
        <v>85</v>
      </c>
      <c r="I5" s="32" t="s">
        <v>86</v>
      </c>
      <c r="J5" s="31" t="s">
        <v>87</v>
      </c>
      <c r="K5" s="31" t="s">
        <v>88</v>
      </c>
      <c r="L5" s="31" t="s">
        <v>88</v>
      </c>
      <c r="M5" s="31" t="s">
        <v>83</v>
      </c>
      <c r="N5" s="31" t="s">
        <v>84</v>
      </c>
      <c r="O5" s="32" t="s">
        <v>85</v>
      </c>
      <c r="P5" s="32" t="s">
        <v>86</v>
      </c>
      <c r="Q5" s="31" t="s">
        <v>87</v>
      </c>
      <c r="R5" s="31" t="s">
        <v>88</v>
      </c>
      <c r="S5" s="31" t="s">
        <v>88</v>
      </c>
      <c r="T5" s="31" t="s">
        <v>83</v>
      </c>
      <c r="U5" s="31" t="s">
        <v>84</v>
      </c>
      <c r="V5" s="32" t="s">
        <v>85</v>
      </c>
      <c r="W5" s="32" t="s">
        <v>86</v>
      </c>
      <c r="X5" s="31" t="s">
        <v>87</v>
      </c>
      <c r="Y5" s="31" t="s">
        <v>88</v>
      </c>
      <c r="Z5" s="31" t="s">
        <v>88</v>
      </c>
      <c r="AA5" s="31" t="s">
        <v>83</v>
      </c>
      <c r="AB5" s="31" t="s">
        <v>84</v>
      </c>
      <c r="AC5" s="32" t="s">
        <v>85</v>
      </c>
      <c r="AD5" s="32" t="s">
        <v>86</v>
      </c>
      <c r="AE5" s="31" t="s">
        <v>87</v>
      </c>
      <c r="AF5" s="31" t="s">
        <v>88</v>
      </c>
      <c r="AG5" s="31" t="s">
        <v>88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3" t="n">
        <v>3</v>
      </c>
      <c r="G6" s="33" t="n">
        <v>4</v>
      </c>
      <c r="H6" s="34" t="n">
        <v>5</v>
      </c>
      <c r="I6" s="34" t="n">
        <v>6</v>
      </c>
      <c r="J6" s="33" t="n">
        <v>7</v>
      </c>
      <c r="K6" s="33" t="n">
        <v>8</v>
      </c>
      <c r="L6" s="33" t="n">
        <v>9</v>
      </c>
      <c r="M6" s="33" t="n">
        <v>10</v>
      </c>
      <c r="N6" s="33" t="n">
        <v>11</v>
      </c>
      <c r="O6" s="34" t="n">
        <v>12</v>
      </c>
      <c r="P6" s="34" t="n">
        <v>13</v>
      </c>
      <c r="Q6" s="33" t="n">
        <v>14</v>
      </c>
      <c r="R6" s="33" t="n">
        <v>15</v>
      </c>
      <c r="S6" s="33" t="n">
        <v>16</v>
      </c>
      <c r="T6" s="33" t="n">
        <v>17</v>
      </c>
      <c r="U6" s="33" t="n">
        <v>18</v>
      </c>
      <c r="V6" s="34" t="n">
        <v>19</v>
      </c>
      <c r="W6" s="34" t="n">
        <v>20</v>
      </c>
      <c r="X6" s="33" t="n">
        <v>21</v>
      </c>
      <c r="Y6" s="33" t="n">
        <v>22</v>
      </c>
      <c r="Z6" s="33" t="n">
        <v>23</v>
      </c>
      <c r="AA6" s="33" t="n">
        <v>24</v>
      </c>
      <c r="AB6" s="33" t="n">
        <v>25</v>
      </c>
      <c r="AC6" s="34" t="n">
        <v>26</v>
      </c>
      <c r="AD6" s="34" t="n">
        <v>27</v>
      </c>
      <c r="AE6" s="33" t="n">
        <v>28</v>
      </c>
      <c r="AF6" s="33" t="n">
        <v>29</v>
      </c>
      <c r="AG6" s="33" t="n">
        <v>30</v>
      </c>
      <c r="AH6" s="35" t="s">
        <v>90</v>
      </c>
      <c r="AI6" s="35" t="s">
        <v>91</v>
      </c>
      <c r="AJ6" s="35" t="s">
        <v>44</v>
      </c>
      <c r="AK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24" t="n">
        <f aca="false">IF($B7="","",COUNTIF(D7:AG7,"x"))</f>
        <v>0</v>
      </c>
      <c r="AI7" s="24" t="n">
        <f aca="false">IF(OR($B7="",$C7=""),"",ROUND($C7*30/7,0))</f>
        <v>30</v>
      </c>
      <c r="AJ7" s="25" t="n">
        <f aca="false">IF(OR($B7="",AI7="",AI7=0),"",AH7/AI7)</f>
        <v>0</v>
      </c>
      <c r="AK7" s="24" t="n">
        <f aca="false">IF($B7="","",MAX(D21:AG21))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27" t="n">
        <f aca="false">IF($B8="","",COUNTIF(D8:AG8,"x"))</f>
        <v>0</v>
      </c>
      <c r="AI8" s="27" t="n">
        <f aca="false">IF(OR($B8="",$C8=""),"",ROUND($C8*30/7,0))</f>
        <v>21</v>
      </c>
      <c r="AJ8" s="28" t="n">
        <f aca="false">IF(OR($B8="",AI8="",AI8=0),"",AH8/AI8)</f>
        <v>0</v>
      </c>
      <c r="AK8" s="27" t="n">
        <f aca="false">IF($B8="","",MAX(D22:AG22))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24" t="n">
        <f aca="false">IF($B9="","",COUNTIF(D9:AG9,"x"))</f>
        <v>0</v>
      </c>
      <c r="AI9" s="24" t="n">
        <f aca="false">IF(OR($B9="",$C9=""),"",ROUND($C9*30/7,0))</f>
        <v>4</v>
      </c>
      <c r="AJ9" s="25" t="n">
        <f aca="false">IF(OR($B9="",AI9="",AI9=0),"",AH9/AI9)</f>
        <v>0</v>
      </c>
      <c r="AK9" s="24" t="n">
        <f aca="false">IF($B9="","",MAX(D23:AG23))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27" t="n">
        <f aca="false">IF($B10="","",COUNTIF(D10:AG10,"x"))</f>
        <v>0</v>
      </c>
      <c r="AI10" s="27" t="n">
        <f aca="false">IF(OR($B10="",$C10=""),"",ROUND($C10*30/7,0))</f>
        <v>13</v>
      </c>
      <c r="AJ10" s="28" t="n">
        <f aca="false">IF(OR($B10="",AI10="",AI10=0),"",AH10/AI10)</f>
        <v>0</v>
      </c>
      <c r="AK10" s="27" t="n">
        <f aca="false">IF($B10="","",MAX(D24:AG24))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24" t="str">
        <f aca="false">IF($B11="","",COUNTIF(D11:AG11,"x"))</f>
        <v/>
      </c>
      <c r="AI11" s="24" t="str">
        <f aca="false">IF(OR($B11="",$C11=""),"",ROUND($C11*30/7,0))</f>
        <v/>
      </c>
      <c r="AJ11" s="25" t="str">
        <f aca="false">IF(OR($B11="",AI11="",AI11=0),"",AH11/AI11)</f>
        <v/>
      </c>
      <c r="AK11" s="24" t="str">
        <f aca="false">IF($B11="","",MAX(D25:AG25))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27" t="str">
        <f aca="false">IF($B12="","",COUNTIF(D12:AG12,"x"))</f>
        <v/>
      </c>
      <c r="AI12" s="27" t="str">
        <f aca="false">IF(OR($B12="",$C12=""),"",ROUND($C12*30/7,0))</f>
        <v/>
      </c>
      <c r="AJ12" s="28" t="str">
        <f aca="false">IF(OR($B12="",AI12="",AI12=0),"",AH12/AI12)</f>
        <v/>
      </c>
      <c r="AK12" s="27" t="str">
        <f aca="false">IF($B12="","",MAX(D26:AG26))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24" t="str">
        <f aca="false">IF($B13="","",COUNTIF(D13:AG13,"x"))</f>
        <v/>
      </c>
      <c r="AI13" s="24" t="str">
        <f aca="false">IF(OR($B13="",$C13=""),"",ROUND($C13*30/7,0))</f>
        <v/>
      </c>
      <c r="AJ13" s="25" t="str">
        <f aca="false">IF(OR($B13="",AI13="",AI13=0),"",AH13/AI13)</f>
        <v/>
      </c>
      <c r="AK13" s="24" t="str">
        <f aca="false">IF($B13="","",MAX(D27:AG27))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27" t="str">
        <f aca="false">IF($B14="","",COUNTIF(D14:AG14,"x"))</f>
        <v/>
      </c>
      <c r="AI14" s="27" t="str">
        <f aca="false">IF(OR($B14="",$C14=""),"",ROUND($C14*30/7,0))</f>
        <v/>
      </c>
      <c r="AJ14" s="28" t="str">
        <f aca="false">IF(OR($B14="",AI14="",AI14=0),"",AH14/AI14)</f>
        <v/>
      </c>
      <c r="AK14" s="27" t="str">
        <f aca="false">IF($B14="","",MAX(D28:AG28))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24" t="str">
        <f aca="false">IF($B15="","",COUNTIF(D15:AG15,"x"))</f>
        <v/>
      </c>
      <c r="AI15" s="24" t="str">
        <f aca="false">IF(OR($B15="",$C15=""),"",ROUND($C15*30/7,0))</f>
        <v/>
      </c>
      <c r="AJ15" s="25" t="str">
        <f aca="false">IF(OR($B15="",AI15="",AI15=0),"",AH15/AI15)</f>
        <v/>
      </c>
      <c r="AK15" s="24" t="str">
        <f aca="false">IF($B15="","",MAX(D29:AG29))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27" t="str">
        <f aca="false">IF($B16="","",COUNTIF(D16:AG16,"x"))</f>
        <v/>
      </c>
      <c r="AI16" s="27" t="str">
        <f aca="false">IF(OR($B16="",$C16=""),"",ROUND($C16*30/7,0))</f>
        <v/>
      </c>
      <c r="AJ16" s="28" t="str">
        <f aca="false">IF(OR($B16="",AI16="",AI16=0),"",AH16/AI16)</f>
        <v/>
      </c>
      <c r="AK16" s="27" t="str">
        <f aca="false">IF($B16="","",MAX(D30:AG30))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24" t="str">
        <f aca="false">IF($B17="","",COUNTIF(D17:AG17,"x"))</f>
        <v/>
      </c>
      <c r="AI17" s="24" t="str">
        <f aca="false">IF(OR($B17="",$C17=""),"",ROUND($C17*30/7,0))</f>
        <v/>
      </c>
      <c r="AJ17" s="25" t="str">
        <f aca="false">IF(OR($B17="",AI17="",AI17=0),"",AH17/AI17)</f>
        <v/>
      </c>
      <c r="AK17" s="24" t="str">
        <f aca="false">IF($B17="","",MAX(D31:AG31))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27" t="str">
        <f aca="false">IF($B18="","",COUNTIF(D18:AG18,"x"))</f>
        <v/>
      </c>
      <c r="AI18" s="27" t="str">
        <f aca="false">IF(OR($B18="",$C18=""),"",ROUND($C18*30/7,0))</f>
        <v/>
      </c>
      <c r="AJ18" s="28" t="str">
        <f aca="false">IF(OR($B18="",AI18="",AI18=0),"",AH18/AI18)</f>
        <v/>
      </c>
      <c r="AK18" s="27" t="str">
        <f aca="false">IF($B18="","",MAX(D32:AG32))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2"/>
      <c r="AI19" s="42"/>
      <c r="AJ19" s="42"/>
      <c r="AK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</row>
  </sheetData>
  <mergeCells count="3">
    <mergeCell ref="A1:AK1"/>
    <mergeCell ref="A2:AK2"/>
    <mergeCell ref="A3:AK3"/>
  </mergeCells>
  <conditionalFormatting sqref="D7:AG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DATE(2026,9,1)=TODAY()</formula>
    </cfRule>
  </conditionalFormatting>
  <conditionalFormatting sqref="E6:E18">
    <cfRule type="expression" priority="5" aboveAverage="0" equalAverage="0" bottom="0" percent="0" rank="0" text="" dxfId="4">
      <formula>DATE(2026,9,2)=TODAY()</formula>
    </cfRule>
  </conditionalFormatting>
  <conditionalFormatting sqref="F6:F18">
    <cfRule type="expression" priority="6" aboveAverage="0" equalAverage="0" bottom="0" percent="0" rank="0" text="" dxfId="4">
      <formula>DATE(2026,9,3)=TODAY()</formula>
    </cfRule>
  </conditionalFormatting>
  <conditionalFormatting sqref="G6:G18">
    <cfRule type="expression" priority="7" aboveAverage="0" equalAverage="0" bottom="0" percent="0" rank="0" text="" dxfId="4">
      <formula>DATE(2026,9,4)=TODAY()</formula>
    </cfRule>
  </conditionalFormatting>
  <conditionalFormatting sqref="H6:H18">
    <cfRule type="expression" priority="8" aboveAverage="0" equalAverage="0" bottom="0" percent="0" rank="0" text="" dxfId="4">
      <formula>DATE(2026,9,5)=TODAY()</formula>
    </cfRule>
  </conditionalFormatting>
  <conditionalFormatting sqref="I6:I18">
    <cfRule type="expression" priority="9" aboveAverage="0" equalAverage="0" bottom="0" percent="0" rank="0" text="" dxfId="4">
      <formula>DATE(2026,9,6)=TODAY()</formula>
    </cfRule>
  </conditionalFormatting>
  <conditionalFormatting sqref="J6:J18">
    <cfRule type="expression" priority="10" aboveAverage="0" equalAverage="0" bottom="0" percent="0" rank="0" text="" dxfId="4">
      <formula>DATE(2026,9,7)=TODAY()</formula>
    </cfRule>
  </conditionalFormatting>
  <conditionalFormatting sqref="K6:K18">
    <cfRule type="expression" priority="11" aboveAverage="0" equalAverage="0" bottom="0" percent="0" rank="0" text="" dxfId="4">
      <formula>DATE(2026,9,8)=TODAY()</formula>
    </cfRule>
  </conditionalFormatting>
  <conditionalFormatting sqref="L6:L18">
    <cfRule type="expression" priority="12" aboveAverage="0" equalAverage="0" bottom="0" percent="0" rank="0" text="" dxfId="4">
      <formula>DATE(2026,9,9)=TODAY()</formula>
    </cfRule>
  </conditionalFormatting>
  <conditionalFormatting sqref="M6:M18">
    <cfRule type="expression" priority="13" aboveAverage="0" equalAverage="0" bottom="0" percent="0" rank="0" text="" dxfId="4">
      <formula>DATE(2026,9,10)=TODAY()</formula>
    </cfRule>
  </conditionalFormatting>
  <conditionalFormatting sqref="N6:N18">
    <cfRule type="expression" priority="14" aboveAverage="0" equalAverage="0" bottom="0" percent="0" rank="0" text="" dxfId="4">
      <formula>DATE(2026,9,11)=TODAY()</formula>
    </cfRule>
  </conditionalFormatting>
  <conditionalFormatting sqref="O6:O18">
    <cfRule type="expression" priority="15" aboveAverage="0" equalAverage="0" bottom="0" percent="0" rank="0" text="" dxfId="4">
      <formula>DATE(2026,9,12)=TODAY()</formula>
    </cfRule>
  </conditionalFormatting>
  <conditionalFormatting sqref="P6:P18">
    <cfRule type="expression" priority="16" aboveAverage="0" equalAverage="0" bottom="0" percent="0" rank="0" text="" dxfId="4">
      <formula>DATE(2026,9,13)=TODAY()</formula>
    </cfRule>
  </conditionalFormatting>
  <conditionalFormatting sqref="Q6:Q18">
    <cfRule type="expression" priority="17" aboveAverage="0" equalAverage="0" bottom="0" percent="0" rank="0" text="" dxfId="4">
      <formula>DATE(2026,9,14)=TODAY()</formula>
    </cfRule>
  </conditionalFormatting>
  <conditionalFormatting sqref="R6:R18">
    <cfRule type="expression" priority="18" aboveAverage="0" equalAverage="0" bottom="0" percent="0" rank="0" text="" dxfId="4">
      <formula>DATE(2026,9,15)=TODAY()</formula>
    </cfRule>
  </conditionalFormatting>
  <conditionalFormatting sqref="S6:S18">
    <cfRule type="expression" priority="19" aboveAverage="0" equalAverage="0" bottom="0" percent="0" rank="0" text="" dxfId="4">
      <formula>DATE(2026,9,16)=TODAY()</formula>
    </cfRule>
  </conditionalFormatting>
  <conditionalFormatting sqref="T6:T18">
    <cfRule type="expression" priority="20" aboveAverage="0" equalAverage="0" bottom="0" percent="0" rank="0" text="" dxfId="4">
      <formula>DATE(2026,9,17)=TODAY()</formula>
    </cfRule>
  </conditionalFormatting>
  <conditionalFormatting sqref="U6:U18">
    <cfRule type="expression" priority="21" aboveAverage="0" equalAverage="0" bottom="0" percent="0" rank="0" text="" dxfId="4">
      <formula>DATE(2026,9,18)=TODAY()</formula>
    </cfRule>
  </conditionalFormatting>
  <conditionalFormatting sqref="V6:V18">
    <cfRule type="expression" priority="22" aboveAverage="0" equalAverage="0" bottom="0" percent="0" rank="0" text="" dxfId="4">
      <formula>DATE(2026,9,19)=TODAY()</formula>
    </cfRule>
  </conditionalFormatting>
  <conditionalFormatting sqref="W6:W18">
    <cfRule type="expression" priority="23" aboveAverage="0" equalAverage="0" bottom="0" percent="0" rank="0" text="" dxfId="4">
      <formula>DATE(2026,9,20)=TODAY()</formula>
    </cfRule>
  </conditionalFormatting>
  <conditionalFormatting sqref="X6:X18">
    <cfRule type="expression" priority="24" aboveAverage="0" equalAverage="0" bottom="0" percent="0" rank="0" text="" dxfId="4">
      <formula>DATE(2026,9,21)=TODAY()</formula>
    </cfRule>
  </conditionalFormatting>
  <conditionalFormatting sqref="Y6:Y18">
    <cfRule type="expression" priority="25" aboveAverage="0" equalAverage="0" bottom="0" percent="0" rank="0" text="" dxfId="4">
      <formula>DATE(2026,9,22)=TODAY()</formula>
    </cfRule>
  </conditionalFormatting>
  <conditionalFormatting sqref="Z6:Z18">
    <cfRule type="expression" priority="26" aboveAverage="0" equalAverage="0" bottom="0" percent="0" rank="0" text="" dxfId="4">
      <formula>DATE(2026,9,23)=TODAY()</formula>
    </cfRule>
  </conditionalFormatting>
  <conditionalFormatting sqref="AA6:AA18">
    <cfRule type="expression" priority="27" aboveAverage="0" equalAverage="0" bottom="0" percent="0" rank="0" text="" dxfId="4">
      <formula>DATE(2026,9,24)=TODAY()</formula>
    </cfRule>
  </conditionalFormatting>
  <conditionalFormatting sqref="AB6:AB18">
    <cfRule type="expression" priority="28" aboveAverage="0" equalAverage="0" bottom="0" percent="0" rank="0" text="" dxfId="4">
      <formula>DATE(2026,9,25)=TODAY()</formula>
    </cfRule>
  </conditionalFormatting>
  <conditionalFormatting sqref="AC6:AC18">
    <cfRule type="expression" priority="29" aboveAverage="0" equalAverage="0" bottom="0" percent="0" rank="0" text="" dxfId="4">
      <formula>DATE(2026,9,26)=TODAY()</formula>
    </cfRule>
  </conditionalFormatting>
  <conditionalFormatting sqref="AD6:AD18">
    <cfRule type="expression" priority="30" aboveAverage="0" equalAverage="0" bottom="0" percent="0" rank="0" text="" dxfId="4">
      <formula>DATE(2026,9,27)=TODAY()</formula>
    </cfRule>
  </conditionalFormatting>
  <conditionalFormatting sqref="AE6:AE18">
    <cfRule type="expression" priority="31" aboveAverage="0" equalAverage="0" bottom="0" percent="0" rank="0" text="" dxfId="4">
      <formula>DATE(2026,9,28)=TODAY()</formula>
    </cfRule>
  </conditionalFormatting>
  <conditionalFormatting sqref="AF6:AF18">
    <cfRule type="expression" priority="32" aboveAverage="0" equalAverage="0" bottom="0" percent="0" rank="0" text="" dxfId="4">
      <formula>DATE(2026,9,29)=TODAY()</formula>
    </cfRule>
  </conditionalFormatting>
  <conditionalFormatting sqref="AG6:AG18">
    <cfRule type="expression" priority="33" aboveAverage="0" equalAverage="0" bottom="0" percent="0" rank="0" text="" dxfId="4">
      <formula>DATE(2026,9,30)=TODAY()</formula>
    </cfRule>
  </conditionalFormatting>
  <conditionalFormatting sqref="AJ7:AJ18">
    <cfRule type="colorScale" priority="34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G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103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83</v>
      </c>
      <c r="E5" s="31" t="s">
        <v>84</v>
      </c>
      <c r="F5" s="32" t="s">
        <v>85</v>
      </c>
      <c r="G5" s="32" t="s">
        <v>86</v>
      </c>
      <c r="H5" s="31" t="s">
        <v>87</v>
      </c>
      <c r="I5" s="31" t="s">
        <v>88</v>
      </c>
      <c r="J5" s="31" t="s">
        <v>88</v>
      </c>
      <c r="K5" s="31" t="s">
        <v>83</v>
      </c>
      <c r="L5" s="31" t="s">
        <v>84</v>
      </c>
      <c r="M5" s="32" t="s">
        <v>85</v>
      </c>
      <c r="N5" s="32" t="s">
        <v>86</v>
      </c>
      <c r="O5" s="31" t="s">
        <v>87</v>
      </c>
      <c r="P5" s="31" t="s">
        <v>88</v>
      </c>
      <c r="Q5" s="31" t="s">
        <v>88</v>
      </c>
      <c r="R5" s="31" t="s">
        <v>83</v>
      </c>
      <c r="S5" s="31" t="s">
        <v>84</v>
      </c>
      <c r="T5" s="32" t="s">
        <v>85</v>
      </c>
      <c r="U5" s="32" t="s">
        <v>86</v>
      </c>
      <c r="V5" s="31" t="s">
        <v>87</v>
      </c>
      <c r="W5" s="31" t="s">
        <v>88</v>
      </c>
      <c r="X5" s="31" t="s">
        <v>88</v>
      </c>
      <c r="Y5" s="31" t="s">
        <v>83</v>
      </c>
      <c r="Z5" s="31" t="s">
        <v>84</v>
      </c>
      <c r="AA5" s="32" t="s">
        <v>85</v>
      </c>
      <c r="AB5" s="32" t="s">
        <v>86</v>
      </c>
      <c r="AC5" s="31" t="s">
        <v>87</v>
      </c>
      <c r="AD5" s="31" t="s">
        <v>88</v>
      </c>
      <c r="AE5" s="31" t="s">
        <v>88</v>
      </c>
      <c r="AF5" s="31" t="s">
        <v>83</v>
      </c>
      <c r="AG5" s="31" t="s">
        <v>84</v>
      </c>
      <c r="AH5" s="32" t="s">
        <v>85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4" t="n">
        <v>3</v>
      </c>
      <c r="G6" s="34" t="n">
        <v>4</v>
      </c>
      <c r="H6" s="33" t="n">
        <v>5</v>
      </c>
      <c r="I6" s="33" t="n">
        <v>6</v>
      </c>
      <c r="J6" s="33" t="n">
        <v>7</v>
      </c>
      <c r="K6" s="33" t="n">
        <v>8</v>
      </c>
      <c r="L6" s="33" t="n">
        <v>9</v>
      </c>
      <c r="M6" s="34" t="n">
        <v>10</v>
      </c>
      <c r="N6" s="34" t="n">
        <v>11</v>
      </c>
      <c r="O6" s="33" t="n">
        <v>12</v>
      </c>
      <c r="P6" s="33" t="n">
        <v>13</v>
      </c>
      <c r="Q6" s="33" t="n">
        <v>14</v>
      </c>
      <c r="R6" s="33" t="n">
        <v>15</v>
      </c>
      <c r="S6" s="33" t="n">
        <v>16</v>
      </c>
      <c r="T6" s="34" t="n">
        <v>17</v>
      </c>
      <c r="U6" s="34" t="n">
        <v>18</v>
      </c>
      <c r="V6" s="33" t="n">
        <v>19</v>
      </c>
      <c r="W6" s="33" t="n">
        <v>20</v>
      </c>
      <c r="X6" s="33" t="n">
        <v>21</v>
      </c>
      <c r="Y6" s="33" t="n">
        <v>22</v>
      </c>
      <c r="Z6" s="33" t="n">
        <v>23</v>
      </c>
      <c r="AA6" s="34" t="n">
        <v>24</v>
      </c>
      <c r="AB6" s="34" t="n">
        <v>25</v>
      </c>
      <c r="AC6" s="33" t="n">
        <v>26</v>
      </c>
      <c r="AD6" s="33" t="n">
        <v>27</v>
      </c>
      <c r="AE6" s="33" t="n">
        <v>28</v>
      </c>
      <c r="AF6" s="33" t="n">
        <v>29</v>
      </c>
      <c r="AG6" s="33" t="n">
        <v>30</v>
      </c>
      <c r="AH6" s="34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DATE(2026,10,1)=TODAY()</formula>
    </cfRule>
  </conditionalFormatting>
  <conditionalFormatting sqref="E6:E18">
    <cfRule type="expression" priority="5" aboveAverage="0" equalAverage="0" bottom="0" percent="0" rank="0" text="" dxfId="4">
      <formula>DATE(2026,10,2)=TODAY()</formula>
    </cfRule>
  </conditionalFormatting>
  <conditionalFormatting sqref="F6:F18">
    <cfRule type="expression" priority="6" aboveAverage="0" equalAverage="0" bottom="0" percent="0" rank="0" text="" dxfId="4">
      <formula>DATE(2026,10,3)=TODAY()</formula>
    </cfRule>
  </conditionalFormatting>
  <conditionalFormatting sqref="G6:G18">
    <cfRule type="expression" priority="7" aboveAverage="0" equalAverage="0" bottom="0" percent="0" rank="0" text="" dxfId="4">
      <formula>DATE(2026,10,4)=TODAY()</formula>
    </cfRule>
  </conditionalFormatting>
  <conditionalFormatting sqref="H6:H18">
    <cfRule type="expression" priority="8" aboveAverage="0" equalAverage="0" bottom="0" percent="0" rank="0" text="" dxfId="4">
      <formula>DATE(2026,10,5)=TODAY()</formula>
    </cfRule>
  </conditionalFormatting>
  <conditionalFormatting sqref="I6:I18">
    <cfRule type="expression" priority="9" aboveAverage="0" equalAverage="0" bottom="0" percent="0" rank="0" text="" dxfId="4">
      <formula>DATE(2026,10,6)=TODAY()</formula>
    </cfRule>
  </conditionalFormatting>
  <conditionalFormatting sqref="J6:J18">
    <cfRule type="expression" priority="10" aboveAverage="0" equalAverage="0" bottom="0" percent="0" rank="0" text="" dxfId="4">
      <formula>DATE(2026,10,7)=TODAY()</formula>
    </cfRule>
  </conditionalFormatting>
  <conditionalFormatting sqref="K6:K18">
    <cfRule type="expression" priority="11" aboveAverage="0" equalAverage="0" bottom="0" percent="0" rank="0" text="" dxfId="4">
      <formula>DATE(2026,10,8)=TODAY()</formula>
    </cfRule>
  </conditionalFormatting>
  <conditionalFormatting sqref="L6:L18">
    <cfRule type="expression" priority="12" aboveAverage="0" equalAverage="0" bottom="0" percent="0" rank="0" text="" dxfId="4">
      <formula>DATE(2026,10,9)=TODAY()</formula>
    </cfRule>
  </conditionalFormatting>
  <conditionalFormatting sqref="M6:M18">
    <cfRule type="expression" priority="13" aboveAverage="0" equalAverage="0" bottom="0" percent="0" rank="0" text="" dxfId="4">
      <formula>DATE(2026,10,10)=TODAY()</formula>
    </cfRule>
  </conditionalFormatting>
  <conditionalFormatting sqref="N6:N18">
    <cfRule type="expression" priority="14" aboveAverage="0" equalAverage="0" bottom="0" percent="0" rank="0" text="" dxfId="4">
      <formula>DATE(2026,10,11)=TODAY()</formula>
    </cfRule>
  </conditionalFormatting>
  <conditionalFormatting sqref="O6:O18">
    <cfRule type="expression" priority="15" aboveAverage="0" equalAverage="0" bottom="0" percent="0" rank="0" text="" dxfId="4">
      <formula>DATE(2026,10,12)=TODAY()</formula>
    </cfRule>
  </conditionalFormatting>
  <conditionalFormatting sqref="P6:P18">
    <cfRule type="expression" priority="16" aboveAverage="0" equalAverage="0" bottom="0" percent="0" rank="0" text="" dxfId="4">
      <formula>DATE(2026,10,13)=TODAY()</formula>
    </cfRule>
  </conditionalFormatting>
  <conditionalFormatting sqref="Q6:Q18">
    <cfRule type="expression" priority="17" aboveAverage="0" equalAverage="0" bottom="0" percent="0" rank="0" text="" dxfId="4">
      <formula>DATE(2026,10,14)=TODAY()</formula>
    </cfRule>
  </conditionalFormatting>
  <conditionalFormatting sqref="R6:R18">
    <cfRule type="expression" priority="18" aboveAverage="0" equalAverage="0" bottom="0" percent="0" rank="0" text="" dxfId="4">
      <formula>DATE(2026,10,15)=TODAY()</formula>
    </cfRule>
  </conditionalFormatting>
  <conditionalFormatting sqref="S6:S18">
    <cfRule type="expression" priority="19" aboveAverage="0" equalAverage="0" bottom="0" percent="0" rank="0" text="" dxfId="4">
      <formula>DATE(2026,10,16)=TODAY()</formula>
    </cfRule>
  </conditionalFormatting>
  <conditionalFormatting sqref="T6:T18">
    <cfRule type="expression" priority="20" aboveAverage="0" equalAverage="0" bottom="0" percent="0" rank="0" text="" dxfId="4">
      <formula>DATE(2026,10,17)=TODAY()</formula>
    </cfRule>
  </conditionalFormatting>
  <conditionalFormatting sqref="U6:U18">
    <cfRule type="expression" priority="21" aboveAverage="0" equalAverage="0" bottom="0" percent="0" rank="0" text="" dxfId="4">
      <formula>DATE(2026,10,18)=TODAY()</formula>
    </cfRule>
  </conditionalFormatting>
  <conditionalFormatting sqref="V6:V18">
    <cfRule type="expression" priority="22" aboveAverage="0" equalAverage="0" bottom="0" percent="0" rank="0" text="" dxfId="4">
      <formula>DATE(2026,10,19)=TODAY()</formula>
    </cfRule>
  </conditionalFormatting>
  <conditionalFormatting sqref="W6:W18">
    <cfRule type="expression" priority="23" aboveAverage="0" equalAverage="0" bottom="0" percent="0" rank="0" text="" dxfId="4">
      <formula>DATE(2026,10,20)=TODAY()</formula>
    </cfRule>
  </conditionalFormatting>
  <conditionalFormatting sqref="X6:X18">
    <cfRule type="expression" priority="24" aboveAverage="0" equalAverage="0" bottom="0" percent="0" rank="0" text="" dxfId="4">
      <formula>DATE(2026,10,21)=TODAY()</formula>
    </cfRule>
  </conditionalFormatting>
  <conditionalFormatting sqref="Y6:Y18">
    <cfRule type="expression" priority="25" aboveAverage="0" equalAverage="0" bottom="0" percent="0" rank="0" text="" dxfId="4">
      <formula>DATE(2026,10,22)=TODAY()</formula>
    </cfRule>
  </conditionalFormatting>
  <conditionalFormatting sqref="Z6:Z18">
    <cfRule type="expression" priority="26" aboveAverage="0" equalAverage="0" bottom="0" percent="0" rank="0" text="" dxfId="4">
      <formula>DATE(2026,10,23)=TODAY()</formula>
    </cfRule>
  </conditionalFormatting>
  <conditionalFormatting sqref="AA6:AA18">
    <cfRule type="expression" priority="27" aboveAverage="0" equalAverage="0" bottom="0" percent="0" rank="0" text="" dxfId="4">
      <formula>DATE(2026,10,24)=TODAY()</formula>
    </cfRule>
  </conditionalFormatting>
  <conditionalFormatting sqref="AB6:AB18">
    <cfRule type="expression" priority="28" aboveAverage="0" equalAverage="0" bottom="0" percent="0" rank="0" text="" dxfId="4">
      <formula>DATE(2026,10,25)=TODAY()</formula>
    </cfRule>
  </conditionalFormatting>
  <conditionalFormatting sqref="AC6:AC18">
    <cfRule type="expression" priority="29" aboveAverage="0" equalAverage="0" bottom="0" percent="0" rank="0" text="" dxfId="4">
      <formula>DATE(2026,10,26)=TODAY()</formula>
    </cfRule>
  </conditionalFormatting>
  <conditionalFormatting sqref="AD6:AD18">
    <cfRule type="expression" priority="30" aboveAverage="0" equalAverage="0" bottom="0" percent="0" rank="0" text="" dxfId="4">
      <formula>DATE(2026,10,27)=TODAY()</formula>
    </cfRule>
  </conditionalFormatting>
  <conditionalFormatting sqref="AE6:AE18">
    <cfRule type="expression" priority="31" aboveAverage="0" equalAverage="0" bottom="0" percent="0" rank="0" text="" dxfId="4">
      <formula>DATE(2026,10,28)=TODAY()</formula>
    </cfRule>
  </conditionalFormatting>
  <conditionalFormatting sqref="AF6:AF18">
    <cfRule type="expression" priority="32" aboveAverage="0" equalAverage="0" bottom="0" percent="0" rank="0" text="" dxfId="4">
      <formula>DATE(2026,10,29)=TODAY()</formula>
    </cfRule>
  </conditionalFormatting>
  <conditionalFormatting sqref="AG6:AG18">
    <cfRule type="expression" priority="33" aboveAverage="0" equalAverage="0" bottom="0" percent="0" rank="0" text="" dxfId="4">
      <formula>DATE(2026,10,30)=TODAY()</formula>
    </cfRule>
  </conditionalFormatting>
  <conditionalFormatting sqref="AH6:AH18">
    <cfRule type="expression" priority="34" aboveAverage="0" equalAverage="0" bottom="0" percent="0" rank="0" text="" dxfId="4">
      <formula>DATE(2026,10,31)=TODAY()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3" min="4" style="0" width="3.4"/>
    <col collapsed="false" customWidth="true" hidden="false" outlineLevel="0" max="37" min="34" style="0" width="10"/>
  </cols>
  <sheetData>
    <row r="1" customFormat="false" ht="25.5" hidden="false" customHeight="true" outlineLevel="0" collapsed="false">
      <c r="A1" s="14" t="s">
        <v>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</row>
    <row r="4" customFormat="false" ht="7.5" hidden="false" customHeight="true" outlineLevel="0" collapsed="false"/>
    <row r="5" customFormat="false" ht="10.5" hidden="false" customHeight="true" outlineLevel="0" collapsed="false">
      <c r="D5" s="32" t="s">
        <v>86</v>
      </c>
      <c r="E5" s="31" t="s">
        <v>87</v>
      </c>
      <c r="F5" s="31" t="s">
        <v>88</v>
      </c>
      <c r="G5" s="31" t="s">
        <v>88</v>
      </c>
      <c r="H5" s="31" t="s">
        <v>83</v>
      </c>
      <c r="I5" s="31" t="s">
        <v>84</v>
      </c>
      <c r="J5" s="32" t="s">
        <v>85</v>
      </c>
      <c r="K5" s="32" t="s">
        <v>86</v>
      </c>
      <c r="L5" s="31" t="s">
        <v>87</v>
      </c>
      <c r="M5" s="31" t="s">
        <v>88</v>
      </c>
      <c r="N5" s="31" t="s">
        <v>88</v>
      </c>
      <c r="O5" s="31" t="s">
        <v>83</v>
      </c>
      <c r="P5" s="31" t="s">
        <v>84</v>
      </c>
      <c r="Q5" s="32" t="s">
        <v>85</v>
      </c>
      <c r="R5" s="32" t="s">
        <v>86</v>
      </c>
      <c r="S5" s="31" t="s">
        <v>87</v>
      </c>
      <c r="T5" s="31" t="s">
        <v>88</v>
      </c>
      <c r="U5" s="31" t="s">
        <v>88</v>
      </c>
      <c r="V5" s="31" t="s">
        <v>83</v>
      </c>
      <c r="W5" s="31" t="s">
        <v>84</v>
      </c>
      <c r="X5" s="32" t="s">
        <v>85</v>
      </c>
      <c r="Y5" s="32" t="s">
        <v>86</v>
      </c>
      <c r="Z5" s="31" t="s">
        <v>87</v>
      </c>
      <c r="AA5" s="31" t="s">
        <v>88</v>
      </c>
      <c r="AB5" s="31" t="s">
        <v>88</v>
      </c>
      <c r="AC5" s="31" t="s">
        <v>83</v>
      </c>
      <c r="AD5" s="31" t="s">
        <v>84</v>
      </c>
      <c r="AE5" s="32" t="s">
        <v>85</v>
      </c>
      <c r="AF5" s="32" t="s">
        <v>86</v>
      </c>
      <c r="AG5" s="31" t="s">
        <v>87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4" t="n">
        <v>1</v>
      </c>
      <c r="E6" s="33" t="n">
        <v>2</v>
      </c>
      <c r="F6" s="33" t="n">
        <v>3</v>
      </c>
      <c r="G6" s="33" t="n">
        <v>4</v>
      </c>
      <c r="H6" s="33" t="n">
        <v>5</v>
      </c>
      <c r="I6" s="33" t="n">
        <v>6</v>
      </c>
      <c r="J6" s="34" t="n">
        <v>7</v>
      </c>
      <c r="K6" s="34" t="n">
        <v>8</v>
      </c>
      <c r="L6" s="33" t="n">
        <v>9</v>
      </c>
      <c r="M6" s="33" t="n">
        <v>10</v>
      </c>
      <c r="N6" s="33" t="n">
        <v>11</v>
      </c>
      <c r="O6" s="33" t="n">
        <v>12</v>
      </c>
      <c r="P6" s="33" t="n">
        <v>13</v>
      </c>
      <c r="Q6" s="34" t="n">
        <v>14</v>
      </c>
      <c r="R6" s="34" t="n">
        <v>15</v>
      </c>
      <c r="S6" s="33" t="n">
        <v>16</v>
      </c>
      <c r="T6" s="33" t="n">
        <v>17</v>
      </c>
      <c r="U6" s="33" t="n">
        <v>18</v>
      </c>
      <c r="V6" s="33" t="n">
        <v>19</v>
      </c>
      <c r="W6" s="33" t="n">
        <v>20</v>
      </c>
      <c r="X6" s="34" t="n">
        <v>21</v>
      </c>
      <c r="Y6" s="34" t="n">
        <v>22</v>
      </c>
      <c r="Z6" s="33" t="n">
        <v>23</v>
      </c>
      <c r="AA6" s="33" t="n">
        <v>24</v>
      </c>
      <c r="AB6" s="33" t="n">
        <v>25</v>
      </c>
      <c r="AC6" s="33" t="n">
        <v>26</v>
      </c>
      <c r="AD6" s="33" t="n">
        <v>27</v>
      </c>
      <c r="AE6" s="34" t="n">
        <v>28</v>
      </c>
      <c r="AF6" s="34" t="n">
        <v>29</v>
      </c>
      <c r="AG6" s="33" t="n">
        <v>30</v>
      </c>
      <c r="AH6" s="35" t="s">
        <v>90</v>
      </c>
      <c r="AI6" s="35" t="s">
        <v>91</v>
      </c>
      <c r="AJ6" s="35" t="s">
        <v>44</v>
      </c>
      <c r="AK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24" t="n">
        <f aca="false">IF($B7="","",COUNTIF(D7:AG7,"x"))</f>
        <v>0</v>
      </c>
      <c r="AI7" s="24" t="n">
        <f aca="false">IF(OR($B7="",$C7=""),"",ROUND($C7*30/7,0))</f>
        <v>30</v>
      </c>
      <c r="AJ7" s="25" t="n">
        <f aca="false">IF(OR($B7="",AI7="",AI7=0),"",AH7/AI7)</f>
        <v>0</v>
      </c>
      <c r="AK7" s="24" t="n">
        <f aca="false">IF($B7="","",MAX(D21:AG21))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27" t="n">
        <f aca="false">IF($B8="","",COUNTIF(D8:AG8,"x"))</f>
        <v>0</v>
      </c>
      <c r="AI8" s="27" t="n">
        <f aca="false">IF(OR($B8="",$C8=""),"",ROUND($C8*30/7,0))</f>
        <v>21</v>
      </c>
      <c r="AJ8" s="28" t="n">
        <f aca="false">IF(OR($B8="",AI8="",AI8=0),"",AH8/AI8)</f>
        <v>0</v>
      </c>
      <c r="AK8" s="27" t="n">
        <f aca="false">IF($B8="","",MAX(D22:AG22))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24" t="n">
        <f aca="false">IF($B9="","",COUNTIF(D9:AG9,"x"))</f>
        <v>0</v>
      </c>
      <c r="AI9" s="24" t="n">
        <f aca="false">IF(OR($B9="",$C9=""),"",ROUND($C9*30/7,0))</f>
        <v>4</v>
      </c>
      <c r="AJ9" s="25" t="n">
        <f aca="false">IF(OR($B9="",AI9="",AI9=0),"",AH9/AI9)</f>
        <v>0</v>
      </c>
      <c r="AK9" s="24" t="n">
        <f aca="false">IF($B9="","",MAX(D23:AG23))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27" t="n">
        <f aca="false">IF($B10="","",COUNTIF(D10:AG10,"x"))</f>
        <v>0</v>
      </c>
      <c r="AI10" s="27" t="n">
        <f aca="false">IF(OR($B10="",$C10=""),"",ROUND($C10*30/7,0))</f>
        <v>13</v>
      </c>
      <c r="AJ10" s="28" t="n">
        <f aca="false">IF(OR($B10="",AI10="",AI10=0),"",AH10/AI10)</f>
        <v>0</v>
      </c>
      <c r="AK10" s="27" t="n">
        <f aca="false">IF($B10="","",MAX(D24:AG24))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24" t="str">
        <f aca="false">IF($B11="","",COUNTIF(D11:AG11,"x"))</f>
        <v/>
      </c>
      <c r="AI11" s="24" t="str">
        <f aca="false">IF(OR($B11="",$C11=""),"",ROUND($C11*30/7,0))</f>
        <v/>
      </c>
      <c r="AJ11" s="25" t="str">
        <f aca="false">IF(OR($B11="",AI11="",AI11=0),"",AH11/AI11)</f>
        <v/>
      </c>
      <c r="AK11" s="24" t="str">
        <f aca="false">IF($B11="","",MAX(D25:AG25))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27" t="str">
        <f aca="false">IF($B12="","",COUNTIF(D12:AG12,"x"))</f>
        <v/>
      </c>
      <c r="AI12" s="27" t="str">
        <f aca="false">IF(OR($B12="",$C12=""),"",ROUND($C12*30/7,0))</f>
        <v/>
      </c>
      <c r="AJ12" s="28" t="str">
        <f aca="false">IF(OR($B12="",AI12="",AI12=0),"",AH12/AI12)</f>
        <v/>
      </c>
      <c r="AK12" s="27" t="str">
        <f aca="false">IF($B12="","",MAX(D26:AG26))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24" t="str">
        <f aca="false">IF($B13="","",COUNTIF(D13:AG13,"x"))</f>
        <v/>
      </c>
      <c r="AI13" s="24" t="str">
        <f aca="false">IF(OR($B13="",$C13=""),"",ROUND($C13*30/7,0))</f>
        <v/>
      </c>
      <c r="AJ13" s="25" t="str">
        <f aca="false">IF(OR($B13="",AI13="",AI13=0),"",AH13/AI13)</f>
        <v/>
      </c>
      <c r="AK13" s="24" t="str">
        <f aca="false">IF($B13="","",MAX(D27:AG27))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27" t="str">
        <f aca="false">IF($B14="","",COUNTIF(D14:AG14,"x"))</f>
        <v/>
      </c>
      <c r="AI14" s="27" t="str">
        <f aca="false">IF(OR($B14="",$C14=""),"",ROUND($C14*30/7,0))</f>
        <v/>
      </c>
      <c r="AJ14" s="28" t="str">
        <f aca="false">IF(OR($B14="",AI14="",AI14=0),"",AH14/AI14)</f>
        <v/>
      </c>
      <c r="AK14" s="27" t="str">
        <f aca="false">IF($B14="","",MAX(D28:AG28))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24" t="str">
        <f aca="false">IF($B15="","",COUNTIF(D15:AG15,"x"))</f>
        <v/>
      </c>
      <c r="AI15" s="24" t="str">
        <f aca="false">IF(OR($B15="",$C15=""),"",ROUND($C15*30/7,0))</f>
        <v/>
      </c>
      <c r="AJ15" s="25" t="str">
        <f aca="false">IF(OR($B15="",AI15="",AI15=0),"",AH15/AI15)</f>
        <v/>
      </c>
      <c r="AK15" s="24" t="str">
        <f aca="false">IF($B15="","",MAX(D29:AG29))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27" t="str">
        <f aca="false">IF($B16="","",COUNTIF(D16:AG16,"x"))</f>
        <v/>
      </c>
      <c r="AI16" s="27" t="str">
        <f aca="false">IF(OR($B16="",$C16=""),"",ROUND($C16*30/7,0))</f>
        <v/>
      </c>
      <c r="AJ16" s="28" t="str">
        <f aca="false">IF(OR($B16="",AI16="",AI16=0),"",AH16/AI16)</f>
        <v/>
      </c>
      <c r="AK16" s="27" t="str">
        <f aca="false">IF($B16="","",MAX(D30:AG30))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24" t="str">
        <f aca="false">IF($B17="","",COUNTIF(D17:AG17,"x"))</f>
        <v/>
      </c>
      <c r="AI17" s="24" t="str">
        <f aca="false">IF(OR($B17="",$C17=""),"",ROUND($C17*30/7,0))</f>
        <v/>
      </c>
      <c r="AJ17" s="25" t="str">
        <f aca="false">IF(OR($B17="",AI17="",AI17=0),"",AH17/AI17)</f>
        <v/>
      </c>
      <c r="AK17" s="24" t="str">
        <f aca="false">IF($B17="","",MAX(D31:AG31))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27" t="str">
        <f aca="false">IF($B18="","",COUNTIF(D18:AG18,"x"))</f>
        <v/>
      </c>
      <c r="AI18" s="27" t="str">
        <f aca="false">IF(OR($B18="",$C18=""),"",ROUND($C18*30/7,0))</f>
        <v/>
      </c>
      <c r="AJ18" s="28" t="str">
        <f aca="false">IF(OR($B18="",AI18="",AI18=0),"",AH18/AI18)</f>
        <v/>
      </c>
      <c r="AK18" s="27" t="str">
        <f aca="false">IF($B18="","",MAX(D32:AG32))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2"/>
      <c r="AI19" s="42"/>
      <c r="AJ19" s="42"/>
      <c r="AK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</row>
  </sheetData>
  <mergeCells count="3">
    <mergeCell ref="A1:AK1"/>
    <mergeCell ref="A2:AK2"/>
    <mergeCell ref="A3:AK3"/>
  </mergeCells>
  <conditionalFormatting sqref="D7:AG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DATE(2026,11,1)=TODAY()</formula>
    </cfRule>
  </conditionalFormatting>
  <conditionalFormatting sqref="E6:E18">
    <cfRule type="expression" priority="5" aboveAverage="0" equalAverage="0" bottom="0" percent="0" rank="0" text="" dxfId="4">
      <formula>DATE(2026,11,2)=TODAY()</formula>
    </cfRule>
  </conditionalFormatting>
  <conditionalFormatting sqref="F6:F18">
    <cfRule type="expression" priority="6" aboveAverage="0" equalAverage="0" bottom="0" percent="0" rank="0" text="" dxfId="4">
      <formula>DATE(2026,11,3)=TODAY()</formula>
    </cfRule>
  </conditionalFormatting>
  <conditionalFormatting sqref="G6:G18">
    <cfRule type="expression" priority="7" aboveAverage="0" equalAverage="0" bottom="0" percent="0" rank="0" text="" dxfId="4">
      <formula>DATE(2026,11,4)=TODAY()</formula>
    </cfRule>
  </conditionalFormatting>
  <conditionalFormatting sqref="H6:H18">
    <cfRule type="expression" priority="8" aboveAverage="0" equalAverage="0" bottom="0" percent="0" rank="0" text="" dxfId="4">
      <formula>DATE(2026,11,5)=TODAY()</formula>
    </cfRule>
  </conditionalFormatting>
  <conditionalFormatting sqref="I6:I18">
    <cfRule type="expression" priority="9" aboveAverage="0" equalAverage="0" bottom="0" percent="0" rank="0" text="" dxfId="4">
      <formula>DATE(2026,11,6)=TODAY()</formula>
    </cfRule>
  </conditionalFormatting>
  <conditionalFormatting sqref="J6:J18">
    <cfRule type="expression" priority="10" aboveAverage="0" equalAverage="0" bottom="0" percent="0" rank="0" text="" dxfId="4">
      <formula>DATE(2026,11,7)=TODAY()</formula>
    </cfRule>
  </conditionalFormatting>
  <conditionalFormatting sqref="K6:K18">
    <cfRule type="expression" priority="11" aboveAverage="0" equalAverage="0" bottom="0" percent="0" rank="0" text="" dxfId="4">
      <formula>DATE(2026,11,8)=TODAY()</formula>
    </cfRule>
  </conditionalFormatting>
  <conditionalFormatting sqref="L6:L18">
    <cfRule type="expression" priority="12" aboveAverage="0" equalAverage="0" bottom="0" percent="0" rank="0" text="" dxfId="4">
      <formula>DATE(2026,11,9)=TODAY()</formula>
    </cfRule>
  </conditionalFormatting>
  <conditionalFormatting sqref="M6:M18">
    <cfRule type="expression" priority="13" aboveAverage="0" equalAverage="0" bottom="0" percent="0" rank="0" text="" dxfId="4">
      <formula>DATE(2026,11,10)=TODAY()</formula>
    </cfRule>
  </conditionalFormatting>
  <conditionalFormatting sqref="N6:N18">
    <cfRule type="expression" priority="14" aboveAverage="0" equalAverage="0" bottom="0" percent="0" rank="0" text="" dxfId="4">
      <formula>DATE(2026,11,11)=TODAY()</formula>
    </cfRule>
  </conditionalFormatting>
  <conditionalFormatting sqref="O6:O18">
    <cfRule type="expression" priority="15" aboveAverage="0" equalAverage="0" bottom="0" percent="0" rank="0" text="" dxfId="4">
      <formula>DATE(2026,11,12)=TODAY()</formula>
    </cfRule>
  </conditionalFormatting>
  <conditionalFormatting sqref="P6:P18">
    <cfRule type="expression" priority="16" aboveAverage="0" equalAverage="0" bottom="0" percent="0" rank="0" text="" dxfId="4">
      <formula>DATE(2026,11,13)=TODAY()</formula>
    </cfRule>
  </conditionalFormatting>
  <conditionalFormatting sqref="Q6:Q18">
    <cfRule type="expression" priority="17" aboveAverage="0" equalAverage="0" bottom="0" percent="0" rank="0" text="" dxfId="4">
      <formula>DATE(2026,11,14)=TODAY()</formula>
    </cfRule>
  </conditionalFormatting>
  <conditionalFormatting sqref="R6:R18">
    <cfRule type="expression" priority="18" aboveAverage="0" equalAverage="0" bottom="0" percent="0" rank="0" text="" dxfId="4">
      <formula>DATE(2026,11,15)=TODAY()</formula>
    </cfRule>
  </conditionalFormatting>
  <conditionalFormatting sqref="S6:S18">
    <cfRule type="expression" priority="19" aboveAverage="0" equalAverage="0" bottom="0" percent="0" rank="0" text="" dxfId="4">
      <formula>DATE(2026,11,16)=TODAY()</formula>
    </cfRule>
  </conditionalFormatting>
  <conditionalFormatting sqref="T6:T18">
    <cfRule type="expression" priority="20" aboveAverage="0" equalAverage="0" bottom="0" percent="0" rank="0" text="" dxfId="4">
      <formula>DATE(2026,11,17)=TODAY()</formula>
    </cfRule>
  </conditionalFormatting>
  <conditionalFormatting sqref="U6:U18">
    <cfRule type="expression" priority="21" aboveAverage="0" equalAverage="0" bottom="0" percent="0" rank="0" text="" dxfId="4">
      <formula>DATE(2026,11,18)=TODAY()</formula>
    </cfRule>
  </conditionalFormatting>
  <conditionalFormatting sqref="V6:V18">
    <cfRule type="expression" priority="22" aboveAverage="0" equalAverage="0" bottom="0" percent="0" rank="0" text="" dxfId="4">
      <formula>DATE(2026,11,19)=TODAY()</formula>
    </cfRule>
  </conditionalFormatting>
  <conditionalFormatting sqref="W6:W18">
    <cfRule type="expression" priority="23" aboveAverage="0" equalAverage="0" bottom="0" percent="0" rank="0" text="" dxfId="4">
      <formula>DATE(2026,11,20)=TODAY()</formula>
    </cfRule>
  </conditionalFormatting>
  <conditionalFormatting sqref="X6:X18">
    <cfRule type="expression" priority="24" aboveAverage="0" equalAverage="0" bottom="0" percent="0" rank="0" text="" dxfId="4">
      <formula>DATE(2026,11,21)=TODAY()</formula>
    </cfRule>
  </conditionalFormatting>
  <conditionalFormatting sqref="Y6:Y18">
    <cfRule type="expression" priority="25" aboveAverage="0" equalAverage="0" bottom="0" percent="0" rank="0" text="" dxfId="4">
      <formula>DATE(2026,11,22)=TODAY()</formula>
    </cfRule>
  </conditionalFormatting>
  <conditionalFormatting sqref="Z6:Z18">
    <cfRule type="expression" priority="26" aboveAverage="0" equalAverage="0" bottom="0" percent="0" rank="0" text="" dxfId="4">
      <formula>DATE(2026,11,23)=TODAY()</formula>
    </cfRule>
  </conditionalFormatting>
  <conditionalFormatting sqref="AA6:AA18">
    <cfRule type="expression" priority="27" aboveAverage="0" equalAverage="0" bottom="0" percent="0" rank="0" text="" dxfId="4">
      <formula>DATE(2026,11,24)=TODAY()</formula>
    </cfRule>
  </conditionalFormatting>
  <conditionalFormatting sqref="AB6:AB18">
    <cfRule type="expression" priority="28" aboveAverage="0" equalAverage="0" bottom="0" percent="0" rank="0" text="" dxfId="4">
      <formula>DATE(2026,11,25)=TODAY()</formula>
    </cfRule>
  </conditionalFormatting>
  <conditionalFormatting sqref="AC6:AC18">
    <cfRule type="expression" priority="29" aboveAverage="0" equalAverage="0" bottom="0" percent="0" rank="0" text="" dxfId="4">
      <formula>DATE(2026,11,26)=TODAY()</formula>
    </cfRule>
  </conditionalFormatting>
  <conditionalFormatting sqref="AD6:AD18">
    <cfRule type="expression" priority="30" aboveAverage="0" equalAverage="0" bottom="0" percent="0" rank="0" text="" dxfId="4">
      <formula>DATE(2026,11,27)=TODAY()</formula>
    </cfRule>
  </conditionalFormatting>
  <conditionalFormatting sqref="AE6:AE18">
    <cfRule type="expression" priority="31" aboveAverage="0" equalAverage="0" bottom="0" percent="0" rank="0" text="" dxfId="4">
      <formula>DATE(2026,11,28)=TODAY()</formula>
    </cfRule>
  </conditionalFormatting>
  <conditionalFormatting sqref="AF6:AF18">
    <cfRule type="expression" priority="32" aboveAverage="0" equalAverage="0" bottom="0" percent="0" rank="0" text="" dxfId="4">
      <formula>DATE(2026,11,29)=TODAY()</formula>
    </cfRule>
  </conditionalFormatting>
  <conditionalFormatting sqref="AG6:AG18">
    <cfRule type="expression" priority="33" aboveAverage="0" equalAverage="0" bottom="0" percent="0" rank="0" text="" dxfId="4">
      <formula>DATE(2026,11,30)=TODAY()</formula>
    </cfRule>
  </conditionalFormatting>
  <conditionalFormatting sqref="AJ7:AJ18">
    <cfRule type="colorScale" priority="34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G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150"/>
    <pageSetUpPr fitToPage="false"/>
  </sheetPr>
  <dimension ref="A1:A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34" min="4" style="0" width="3.4"/>
    <col collapsed="false" customWidth="true" hidden="false" outlineLevel="0" max="38" min="35" style="0" width="10"/>
  </cols>
  <sheetData>
    <row r="1" customFormat="false" ht="25.5" hidden="false" customHeight="true" outlineLevel="0" collapsed="false">
      <c r="A1" s="14" t="s">
        <v>105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</row>
    <row r="2" customFormat="false" ht="15" hidden="false" customHeight="true" outlineLevel="0" collapsed="false">
      <c r="A2" s="15" t="s">
        <v>82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customFormat="false" ht="7.5" hidden="false" customHeight="true" outlineLevel="0" collapsed="false"/>
    <row r="5" customFormat="false" ht="10.5" hidden="false" customHeight="true" outlineLevel="0" collapsed="false">
      <c r="D5" s="31" t="s">
        <v>88</v>
      </c>
      <c r="E5" s="31" t="s">
        <v>88</v>
      </c>
      <c r="F5" s="31" t="s">
        <v>83</v>
      </c>
      <c r="G5" s="31" t="s">
        <v>84</v>
      </c>
      <c r="H5" s="32" t="s">
        <v>85</v>
      </c>
      <c r="I5" s="32" t="s">
        <v>86</v>
      </c>
      <c r="J5" s="31" t="s">
        <v>87</v>
      </c>
      <c r="K5" s="31" t="s">
        <v>88</v>
      </c>
      <c r="L5" s="31" t="s">
        <v>88</v>
      </c>
      <c r="M5" s="31" t="s">
        <v>83</v>
      </c>
      <c r="N5" s="31" t="s">
        <v>84</v>
      </c>
      <c r="O5" s="32" t="s">
        <v>85</v>
      </c>
      <c r="P5" s="32" t="s">
        <v>86</v>
      </c>
      <c r="Q5" s="31" t="s">
        <v>87</v>
      </c>
      <c r="R5" s="31" t="s">
        <v>88</v>
      </c>
      <c r="S5" s="31" t="s">
        <v>88</v>
      </c>
      <c r="T5" s="31" t="s">
        <v>83</v>
      </c>
      <c r="U5" s="31" t="s">
        <v>84</v>
      </c>
      <c r="V5" s="32" t="s">
        <v>85</v>
      </c>
      <c r="W5" s="32" t="s">
        <v>86</v>
      </c>
      <c r="X5" s="31" t="s">
        <v>87</v>
      </c>
      <c r="Y5" s="31" t="s">
        <v>88</v>
      </c>
      <c r="Z5" s="31" t="s">
        <v>88</v>
      </c>
      <c r="AA5" s="31" t="s">
        <v>83</v>
      </c>
      <c r="AB5" s="31" t="s">
        <v>84</v>
      </c>
      <c r="AC5" s="32" t="s">
        <v>85</v>
      </c>
      <c r="AD5" s="32" t="s">
        <v>86</v>
      </c>
      <c r="AE5" s="31" t="s">
        <v>87</v>
      </c>
      <c r="AF5" s="31" t="s">
        <v>88</v>
      </c>
      <c r="AG5" s="31" t="s">
        <v>88</v>
      </c>
      <c r="AH5" s="31" t="s">
        <v>83</v>
      </c>
    </row>
    <row r="6" customFormat="false" ht="18" hidden="false" customHeight="true" outlineLevel="0" collapsed="false">
      <c r="B6" s="23" t="s">
        <v>41</v>
      </c>
      <c r="C6" s="23" t="s">
        <v>89</v>
      </c>
      <c r="D6" s="33" t="n">
        <v>1</v>
      </c>
      <c r="E6" s="33" t="n">
        <v>2</v>
      </c>
      <c r="F6" s="33" t="n">
        <v>3</v>
      </c>
      <c r="G6" s="33" t="n">
        <v>4</v>
      </c>
      <c r="H6" s="34" t="n">
        <v>5</v>
      </c>
      <c r="I6" s="34" t="n">
        <v>6</v>
      </c>
      <c r="J6" s="33" t="n">
        <v>7</v>
      </c>
      <c r="K6" s="33" t="n">
        <v>8</v>
      </c>
      <c r="L6" s="33" t="n">
        <v>9</v>
      </c>
      <c r="M6" s="33" t="n">
        <v>10</v>
      </c>
      <c r="N6" s="33" t="n">
        <v>11</v>
      </c>
      <c r="O6" s="34" t="n">
        <v>12</v>
      </c>
      <c r="P6" s="34" t="n">
        <v>13</v>
      </c>
      <c r="Q6" s="33" t="n">
        <v>14</v>
      </c>
      <c r="R6" s="33" t="n">
        <v>15</v>
      </c>
      <c r="S6" s="33" t="n">
        <v>16</v>
      </c>
      <c r="T6" s="33" t="n">
        <v>17</v>
      </c>
      <c r="U6" s="33" t="n">
        <v>18</v>
      </c>
      <c r="V6" s="34" t="n">
        <v>19</v>
      </c>
      <c r="W6" s="34" t="n">
        <v>20</v>
      </c>
      <c r="X6" s="33" t="n">
        <v>21</v>
      </c>
      <c r="Y6" s="33" t="n">
        <v>22</v>
      </c>
      <c r="Z6" s="33" t="n">
        <v>23</v>
      </c>
      <c r="AA6" s="33" t="n">
        <v>24</v>
      </c>
      <c r="AB6" s="33" t="n">
        <v>25</v>
      </c>
      <c r="AC6" s="34" t="n">
        <v>26</v>
      </c>
      <c r="AD6" s="34" t="n">
        <v>27</v>
      </c>
      <c r="AE6" s="33" t="n">
        <v>28</v>
      </c>
      <c r="AF6" s="33" t="n">
        <v>29</v>
      </c>
      <c r="AG6" s="33" t="n">
        <v>30</v>
      </c>
      <c r="AH6" s="33" t="n">
        <v>31</v>
      </c>
      <c r="AI6" s="35" t="s">
        <v>90</v>
      </c>
      <c r="AJ6" s="35" t="s">
        <v>91</v>
      </c>
      <c r="AK6" s="35" t="s">
        <v>44</v>
      </c>
      <c r="AL6" s="35" t="s">
        <v>92</v>
      </c>
    </row>
    <row r="7" customFormat="false" ht="16.5" hidden="false" customHeight="true" outlineLevel="0" collapsed="false">
      <c r="B7" s="36" t="str">
        <f aca="false">'Mis Hábitos'!$B$7</f>
        <v>Leer 10 páginas</v>
      </c>
      <c r="C7" s="37" t="n">
        <f aca="false">IF('Mis Hábitos'!$B$7="","",'Mis Hábitos'!$F$7)</f>
        <v>7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24" t="n">
        <f aca="false">IF($B7="","",COUNTIF(D7:AH7,"x"))</f>
        <v>0</v>
      </c>
      <c r="AJ7" s="24" t="n">
        <f aca="false">IF(OR($B7="",$C7=""),"",ROUND($C7*31/7,0))</f>
        <v>31</v>
      </c>
      <c r="AK7" s="25" t="n">
        <f aca="false">IF(OR($B7="",AJ7="",AJ7=0),"",AI7/AJ7)</f>
        <v>0</v>
      </c>
      <c r="AL7" s="24" t="n">
        <f aca="false">IF($B7="","",MAX(D21:AH21))</f>
        <v>0</v>
      </c>
    </row>
    <row r="8" customFormat="false" ht="16.5" hidden="false" customHeight="true" outlineLevel="0" collapsed="false">
      <c r="B8" s="39" t="str">
        <f aca="false">'Mis Hábitos'!$B$8</f>
        <v>Caminar 30 minutos</v>
      </c>
      <c r="C8" s="40" t="n">
        <f aca="false">IF('Mis Hábitos'!$B$8="","",'Mis Hábitos'!$F$8)</f>
        <v>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27" t="n">
        <f aca="false">IF($B8="","",COUNTIF(D8:AH8,"x"))</f>
        <v>0</v>
      </c>
      <c r="AJ8" s="27" t="n">
        <f aca="false">IF(OR($B8="",$C8=""),"",ROUND($C8*31/7,0))</f>
        <v>22</v>
      </c>
      <c r="AK8" s="28" t="n">
        <f aca="false">IF(OR($B8="",AJ8="",AJ8=0),"",AI8/AJ8)</f>
        <v>0</v>
      </c>
      <c r="AL8" s="27" t="n">
        <f aca="false">IF($B8="","",MAX(D22:AH22))</f>
        <v>0</v>
      </c>
    </row>
    <row r="9" customFormat="false" ht="16.5" hidden="false" customHeight="true" outlineLevel="0" collapsed="false">
      <c r="B9" s="36" t="str">
        <f aca="false">'Mis Hábitos'!$B$9</f>
        <v>Revisar pendientes de la semana</v>
      </c>
      <c r="C9" s="37" t="n">
        <f aca="false">IF('Mis Hábitos'!$B$9="","",'Mis Hábitos'!$F$9)</f>
        <v>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24" t="n">
        <f aca="false">IF($B9="","",COUNTIF(D9:AH9,"x"))</f>
        <v>0</v>
      </c>
      <c r="AJ9" s="24" t="n">
        <f aca="false">IF(OR($B9="",$C9=""),"",ROUND($C9*31/7,0))</f>
        <v>4</v>
      </c>
      <c r="AK9" s="25" t="n">
        <f aca="false">IF(OR($B9="",AJ9="",AJ9=0),"",AI9/AJ9)</f>
        <v>0</v>
      </c>
      <c r="AL9" s="24" t="n">
        <f aca="false">IF($B9="","",MAX(D23:AH23))</f>
        <v>0</v>
      </c>
    </row>
    <row r="10" customFormat="false" ht="16.5" hidden="false" customHeight="true" outlineLevel="0" collapsed="false">
      <c r="B10" s="39" t="str">
        <f aca="false">'Mis Hábitos'!$B$10</f>
        <v>Practicar guitarra 15 minutos</v>
      </c>
      <c r="C10" s="40" t="n">
        <f aca="false">IF('Mis Hábitos'!$B$10="","",'Mis Hábitos'!$F$10)</f>
        <v>3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27" t="n">
        <f aca="false">IF($B10="","",COUNTIF(D10:AH10,"x"))</f>
        <v>0</v>
      </c>
      <c r="AJ10" s="27" t="n">
        <f aca="false">IF(OR($B10="",$C10=""),"",ROUND($C10*31/7,0))</f>
        <v>13</v>
      </c>
      <c r="AK10" s="28" t="n">
        <f aca="false">IF(OR($B10="",AJ10="",AJ10=0),"",AI10/AJ10)</f>
        <v>0</v>
      </c>
      <c r="AL10" s="27" t="n">
        <f aca="false">IF($B10="","",MAX(D24:AH24))</f>
        <v>0</v>
      </c>
    </row>
    <row r="11" customFormat="false" ht="16.5" hidden="false" customHeight="true" outlineLevel="0" collapsed="false">
      <c r="B11" s="36" t="n">
        <f aca="false">'Mis Hábitos'!$B$11</f>
        <v>0</v>
      </c>
      <c r="C11" s="37" t="str">
        <f aca="false">IF('Mis Hábitos'!$B$11="","",'Mis Hábitos'!$F$11)</f>
        <v/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24" t="str">
        <f aca="false">IF($B11="","",COUNTIF(D11:AH11,"x"))</f>
        <v/>
      </c>
      <c r="AJ11" s="24" t="str">
        <f aca="false">IF(OR($B11="",$C11=""),"",ROUND($C11*31/7,0))</f>
        <v/>
      </c>
      <c r="AK11" s="25" t="str">
        <f aca="false">IF(OR($B11="",AJ11="",AJ11=0),"",AI11/AJ11)</f>
        <v/>
      </c>
      <c r="AL11" s="24" t="str">
        <f aca="false">IF($B11="","",MAX(D25:AH25))</f>
        <v/>
      </c>
    </row>
    <row r="12" customFormat="false" ht="16.5" hidden="false" customHeight="true" outlineLevel="0" collapsed="false">
      <c r="B12" s="39" t="n">
        <f aca="false">'Mis Hábitos'!$B$12</f>
        <v>0</v>
      </c>
      <c r="C12" s="40" t="str">
        <f aca="false">IF('Mis Hábitos'!$B$12="","",'Mis Hábitos'!$F$12)</f>
        <v/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27" t="str">
        <f aca="false">IF($B12="","",COUNTIF(D12:AH12,"x"))</f>
        <v/>
      </c>
      <c r="AJ12" s="27" t="str">
        <f aca="false">IF(OR($B12="",$C12=""),"",ROUND($C12*31/7,0))</f>
        <v/>
      </c>
      <c r="AK12" s="28" t="str">
        <f aca="false">IF(OR($B12="",AJ12="",AJ12=0),"",AI12/AJ12)</f>
        <v/>
      </c>
      <c r="AL12" s="27" t="str">
        <f aca="false">IF($B12="","",MAX(D26:AH26))</f>
        <v/>
      </c>
    </row>
    <row r="13" customFormat="false" ht="16.5" hidden="false" customHeight="true" outlineLevel="0" collapsed="false">
      <c r="B13" s="36" t="n">
        <f aca="false">'Mis Hábitos'!$B$13</f>
        <v>0</v>
      </c>
      <c r="C13" s="37" t="str">
        <f aca="false">IF('Mis Hábitos'!$B$13="","",'Mis Hábitos'!$F$13)</f>
        <v/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24" t="str">
        <f aca="false">IF($B13="","",COUNTIF(D13:AH13,"x"))</f>
        <v/>
      </c>
      <c r="AJ13" s="24" t="str">
        <f aca="false">IF(OR($B13="",$C13=""),"",ROUND($C13*31/7,0))</f>
        <v/>
      </c>
      <c r="AK13" s="25" t="str">
        <f aca="false">IF(OR($B13="",AJ13="",AJ13=0),"",AI13/AJ13)</f>
        <v/>
      </c>
      <c r="AL13" s="24" t="str">
        <f aca="false">IF($B13="","",MAX(D27:AH27))</f>
        <v/>
      </c>
    </row>
    <row r="14" customFormat="false" ht="16.5" hidden="false" customHeight="true" outlineLevel="0" collapsed="false">
      <c r="B14" s="39" t="n">
        <f aca="false">'Mis Hábitos'!$B$14</f>
        <v>0</v>
      </c>
      <c r="C14" s="40" t="str">
        <f aca="false">IF('Mis Hábitos'!$B$14="","",'Mis Hábitos'!$F$14)</f>
        <v/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27" t="str">
        <f aca="false">IF($B14="","",COUNTIF(D14:AH14,"x"))</f>
        <v/>
      </c>
      <c r="AJ14" s="27" t="str">
        <f aca="false">IF(OR($B14="",$C14=""),"",ROUND($C14*31/7,0))</f>
        <v/>
      </c>
      <c r="AK14" s="28" t="str">
        <f aca="false">IF(OR($B14="",AJ14="",AJ14=0),"",AI14/AJ14)</f>
        <v/>
      </c>
      <c r="AL14" s="27" t="str">
        <f aca="false">IF($B14="","",MAX(D28:AH28))</f>
        <v/>
      </c>
    </row>
    <row r="15" customFormat="false" ht="16.5" hidden="false" customHeight="true" outlineLevel="0" collapsed="false">
      <c r="B15" s="36" t="n">
        <f aca="false">'Mis Hábitos'!$B$15</f>
        <v>0</v>
      </c>
      <c r="C15" s="37" t="str">
        <f aca="false">IF('Mis Hábitos'!$B$15="","",'Mis Hábitos'!$F$15)</f>
        <v/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24" t="str">
        <f aca="false">IF($B15="","",COUNTIF(D15:AH15,"x"))</f>
        <v/>
      </c>
      <c r="AJ15" s="24" t="str">
        <f aca="false">IF(OR($B15="",$C15=""),"",ROUND($C15*31/7,0))</f>
        <v/>
      </c>
      <c r="AK15" s="25" t="str">
        <f aca="false">IF(OR($B15="",AJ15="",AJ15=0),"",AI15/AJ15)</f>
        <v/>
      </c>
      <c r="AL15" s="24" t="str">
        <f aca="false">IF($B15="","",MAX(D29:AH29))</f>
        <v/>
      </c>
    </row>
    <row r="16" customFormat="false" ht="16.5" hidden="false" customHeight="true" outlineLevel="0" collapsed="false">
      <c r="B16" s="39" t="n">
        <f aca="false">'Mis Hábitos'!$B$16</f>
        <v>0</v>
      </c>
      <c r="C16" s="40" t="str">
        <f aca="false">IF('Mis Hábitos'!$B$16="","",'Mis Hábitos'!$F$16)</f>
        <v/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27" t="str">
        <f aca="false">IF($B16="","",COUNTIF(D16:AH16,"x"))</f>
        <v/>
      </c>
      <c r="AJ16" s="27" t="str">
        <f aca="false">IF(OR($B16="",$C16=""),"",ROUND($C16*31/7,0))</f>
        <v/>
      </c>
      <c r="AK16" s="28" t="str">
        <f aca="false">IF(OR($B16="",AJ16="",AJ16=0),"",AI16/AJ16)</f>
        <v/>
      </c>
      <c r="AL16" s="27" t="str">
        <f aca="false">IF($B16="","",MAX(D30:AH30))</f>
        <v/>
      </c>
    </row>
    <row r="17" customFormat="false" ht="16.5" hidden="false" customHeight="true" outlineLevel="0" collapsed="false">
      <c r="B17" s="36" t="n">
        <f aca="false">'Mis Hábitos'!$B$17</f>
        <v>0</v>
      </c>
      <c r="C17" s="37" t="str">
        <f aca="false">IF('Mis Hábitos'!$B$17="","",'Mis Hábitos'!$F$17)</f>
        <v/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24" t="str">
        <f aca="false">IF($B17="","",COUNTIF(D17:AH17,"x"))</f>
        <v/>
      </c>
      <c r="AJ17" s="24" t="str">
        <f aca="false">IF(OR($B17="",$C17=""),"",ROUND($C17*31/7,0))</f>
        <v/>
      </c>
      <c r="AK17" s="25" t="str">
        <f aca="false">IF(OR($B17="",AJ17="",AJ17=0),"",AI17/AJ17)</f>
        <v/>
      </c>
      <c r="AL17" s="24" t="str">
        <f aca="false">IF($B17="","",MAX(D31:AH31))</f>
        <v/>
      </c>
    </row>
    <row r="18" customFormat="false" ht="16.5" hidden="false" customHeight="true" outlineLevel="0" collapsed="false">
      <c r="B18" s="39" t="n">
        <f aca="false">'Mis Hábitos'!$B$18</f>
        <v>0</v>
      </c>
      <c r="C18" s="40" t="str">
        <f aca="false">IF('Mis Hábitos'!$B$18="","",'Mis Hábitos'!$F$18)</f>
        <v/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27" t="str">
        <f aca="false">IF($B18="","",COUNTIF(D18:AH18,"x"))</f>
        <v/>
      </c>
      <c r="AJ18" s="27" t="str">
        <f aca="false">IF(OR($B18="",$C18=""),"",ROUND($C18*31/7,0))</f>
        <v/>
      </c>
      <c r="AK18" s="28" t="str">
        <f aca="false">IF(OR($B18="",AJ18="",AJ18=0),"",AI18/AJ18)</f>
        <v/>
      </c>
      <c r="AL18" s="27" t="str">
        <f aca="false">IF($B18="","",MAX(D32:AH32))</f>
        <v/>
      </c>
    </row>
    <row r="19" customFormat="false" ht="15.75" hidden="false" customHeight="true" outlineLevel="0" collapsed="false">
      <c r="B19" s="41" t="s">
        <v>93</v>
      </c>
      <c r="C19" s="42"/>
      <c r="D19" s="43" t="n">
        <f aca="false">COUNTIF(D7:D18,"x")</f>
        <v>0</v>
      </c>
      <c r="E19" s="43" t="n">
        <f aca="false">COUNTIF(E7:E18,"x")</f>
        <v>0</v>
      </c>
      <c r="F19" s="43" t="n">
        <f aca="false">COUNTIF(F7:F18,"x")</f>
        <v>0</v>
      </c>
      <c r="G19" s="43" t="n">
        <f aca="false">COUNTIF(G7:G18,"x")</f>
        <v>0</v>
      </c>
      <c r="H19" s="43" t="n">
        <f aca="false">COUNTIF(H7:H18,"x")</f>
        <v>0</v>
      </c>
      <c r="I19" s="43" t="n">
        <f aca="false">COUNTIF(I7:I18,"x")</f>
        <v>0</v>
      </c>
      <c r="J19" s="43" t="n">
        <f aca="false">COUNTIF(J7:J18,"x")</f>
        <v>0</v>
      </c>
      <c r="K19" s="43" t="n">
        <f aca="false">COUNTIF(K7:K18,"x")</f>
        <v>0</v>
      </c>
      <c r="L19" s="43" t="n">
        <f aca="false">COUNTIF(L7:L18,"x")</f>
        <v>0</v>
      </c>
      <c r="M19" s="43" t="n">
        <f aca="false">COUNTIF(M7:M18,"x")</f>
        <v>0</v>
      </c>
      <c r="N19" s="43" t="n">
        <f aca="false">COUNTIF(N7:N18,"x")</f>
        <v>0</v>
      </c>
      <c r="O19" s="43" t="n">
        <f aca="false">COUNTIF(O7:O18,"x")</f>
        <v>0</v>
      </c>
      <c r="P19" s="43" t="n">
        <f aca="false">COUNTIF(P7:P18,"x")</f>
        <v>0</v>
      </c>
      <c r="Q19" s="43" t="n">
        <f aca="false">COUNTIF(Q7:Q18,"x")</f>
        <v>0</v>
      </c>
      <c r="R19" s="43" t="n">
        <f aca="false">COUNTIF(R7:R18,"x")</f>
        <v>0</v>
      </c>
      <c r="S19" s="43" t="n">
        <f aca="false">COUNTIF(S7:S18,"x")</f>
        <v>0</v>
      </c>
      <c r="T19" s="43" t="n">
        <f aca="false">COUNTIF(T7:T18,"x")</f>
        <v>0</v>
      </c>
      <c r="U19" s="43" t="n">
        <f aca="false">COUNTIF(U7:U18,"x")</f>
        <v>0</v>
      </c>
      <c r="V19" s="43" t="n">
        <f aca="false">COUNTIF(V7:V18,"x")</f>
        <v>0</v>
      </c>
      <c r="W19" s="43" t="n">
        <f aca="false">COUNTIF(W7:W18,"x")</f>
        <v>0</v>
      </c>
      <c r="X19" s="43" t="n">
        <f aca="false">COUNTIF(X7:X18,"x")</f>
        <v>0</v>
      </c>
      <c r="Y19" s="43" t="n">
        <f aca="false">COUNTIF(Y7:Y18,"x")</f>
        <v>0</v>
      </c>
      <c r="Z19" s="43" t="n">
        <f aca="false">COUNTIF(Z7:Z18,"x")</f>
        <v>0</v>
      </c>
      <c r="AA19" s="43" t="n">
        <f aca="false">COUNTIF(AA7:AA18,"x")</f>
        <v>0</v>
      </c>
      <c r="AB19" s="43" t="n">
        <f aca="false">COUNTIF(AB7:AB18,"x")</f>
        <v>0</v>
      </c>
      <c r="AC19" s="43" t="n">
        <f aca="false">COUNTIF(AC7:AC18,"x")</f>
        <v>0</v>
      </c>
      <c r="AD19" s="43" t="n">
        <f aca="false">COUNTIF(AD7:AD18,"x")</f>
        <v>0</v>
      </c>
      <c r="AE19" s="43" t="n">
        <f aca="false">COUNTIF(AE7:AE18,"x")</f>
        <v>0</v>
      </c>
      <c r="AF19" s="43" t="n">
        <f aca="false">COUNTIF(AF7:AF18,"x")</f>
        <v>0</v>
      </c>
      <c r="AG19" s="43" t="n">
        <f aca="false">COUNTIF(AG7:AG18,"x")</f>
        <v>0</v>
      </c>
      <c r="AH19" s="43" t="n">
        <f aca="false">COUNTIF(AH7:AH18,"x")</f>
        <v>0</v>
      </c>
      <c r="AI19" s="42"/>
      <c r="AJ19" s="42"/>
      <c r="AK19" s="42"/>
      <c r="AL19" s="42"/>
    </row>
    <row r="20" customFormat="false" ht="15" hidden="true" customHeight="false" outlineLevel="0" collapsed="false">
      <c r="B20" s="44" t="s">
        <v>94</v>
      </c>
    </row>
    <row r="21" customFormat="false" ht="15" hidden="true" customHeight="false" outlineLevel="0" collapsed="false">
      <c r="B21" s="45" t="str">
        <f aca="false">IF($B7="","",$B7)</f>
        <v>Leer 10 páginas</v>
      </c>
      <c r="D21" s="46" t="n">
        <f aca="false">IF(D7="x",1,0)</f>
        <v>0</v>
      </c>
      <c r="E21" s="46" t="n">
        <f aca="false">IF(E7="x",D21+1,0)</f>
        <v>0</v>
      </c>
      <c r="F21" s="46" t="n">
        <f aca="false">IF(F7="x",E21+1,0)</f>
        <v>0</v>
      </c>
      <c r="G21" s="46" t="n">
        <f aca="false">IF(G7="x",F21+1,0)</f>
        <v>0</v>
      </c>
      <c r="H21" s="46" t="n">
        <f aca="false">IF(H7="x",G21+1,0)</f>
        <v>0</v>
      </c>
      <c r="I21" s="46" t="n">
        <f aca="false">IF(I7="x",H21+1,0)</f>
        <v>0</v>
      </c>
      <c r="J21" s="46" t="n">
        <f aca="false">IF(J7="x",I21+1,0)</f>
        <v>0</v>
      </c>
      <c r="K21" s="46" t="n">
        <f aca="false">IF(K7="x",J21+1,0)</f>
        <v>0</v>
      </c>
      <c r="L21" s="46" t="n">
        <f aca="false">IF(L7="x",K21+1,0)</f>
        <v>0</v>
      </c>
      <c r="M21" s="46" t="n">
        <f aca="false">IF(M7="x",L21+1,0)</f>
        <v>0</v>
      </c>
      <c r="N21" s="46" t="n">
        <f aca="false">IF(N7="x",M21+1,0)</f>
        <v>0</v>
      </c>
      <c r="O21" s="46" t="n">
        <f aca="false">IF(O7="x",N21+1,0)</f>
        <v>0</v>
      </c>
      <c r="P21" s="46" t="n">
        <f aca="false">IF(P7="x",O21+1,0)</f>
        <v>0</v>
      </c>
      <c r="Q21" s="46" t="n">
        <f aca="false">IF(Q7="x",P21+1,0)</f>
        <v>0</v>
      </c>
      <c r="R21" s="46" t="n">
        <f aca="false">IF(R7="x",Q21+1,0)</f>
        <v>0</v>
      </c>
      <c r="S21" s="46" t="n">
        <f aca="false">IF(S7="x",R21+1,0)</f>
        <v>0</v>
      </c>
      <c r="T21" s="46" t="n">
        <f aca="false">IF(T7="x",S21+1,0)</f>
        <v>0</v>
      </c>
      <c r="U21" s="46" t="n">
        <f aca="false">IF(U7="x",T21+1,0)</f>
        <v>0</v>
      </c>
      <c r="V21" s="46" t="n">
        <f aca="false">IF(V7="x",U21+1,0)</f>
        <v>0</v>
      </c>
      <c r="W21" s="46" t="n">
        <f aca="false">IF(W7="x",V21+1,0)</f>
        <v>0</v>
      </c>
      <c r="X21" s="46" t="n">
        <f aca="false">IF(X7="x",W21+1,0)</f>
        <v>0</v>
      </c>
      <c r="Y21" s="46" t="n">
        <f aca="false">IF(Y7="x",X21+1,0)</f>
        <v>0</v>
      </c>
      <c r="Z21" s="46" t="n">
        <f aca="false">IF(Z7="x",Y21+1,0)</f>
        <v>0</v>
      </c>
      <c r="AA21" s="46" t="n">
        <f aca="false">IF(AA7="x",Z21+1,0)</f>
        <v>0</v>
      </c>
      <c r="AB21" s="46" t="n">
        <f aca="false">IF(AB7="x",AA21+1,0)</f>
        <v>0</v>
      </c>
      <c r="AC21" s="46" t="n">
        <f aca="false">IF(AC7="x",AB21+1,0)</f>
        <v>0</v>
      </c>
      <c r="AD21" s="46" t="n">
        <f aca="false">IF(AD7="x",AC21+1,0)</f>
        <v>0</v>
      </c>
      <c r="AE21" s="46" t="n">
        <f aca="false">IF(AE7="x",AD21+1,0)</f>
        <v>0</v>
      </c>
      <c r="AF21" s="46" t="n">
        <f aca="false">IF(AF7="x",AE21+1,0)</f>
        <v>0</v>
      </c>
      <c r="AG21" s="46" t="n">
        <f aca="false">IF(AG7="x",AF21+1,0)</f>
        <v>0</v>
      </c>
      <c r="AH21" s="46" t="n">
        <f aca="false">IF(AH7="x",AG21+1,0)</f>
        <v>0</v>
      </c>
    </row>
    <row r="22" customFormat="false" ht="15" hidden="true" customHeight="false" outlineLevel="0" collapsed="false">
      <c r="B22" s="45" t="str">
        <f aca="false">IF($B8="","",$B8)</f>
        <v>Caminar 30 minutos</v>
      </c>
      <c r="D22" s="46" t="n">
        <f aca="false">IF(D8="x",1,0)</f>
        <v>0</v>
      </c>
      <c r="E22" s="46" t="n">
        <f aca="false">IF(E8="x",D22+1,0)</f>
        <v>0</v>
      </c>
      <c r="F22" s="46" t="n">
        <f aca="false">IF(F8="x",E22+1,0)</f>
        <v>0</v>
      </c>
      <c r="G22" s="46" t="n">
        <f aca="false">IF(G8="x",F22+1,0)</f>
        <v>0</v>
      </c>
      <c r="H22" s="46" t="n">
        <f aca="false">IF(H8="x",G22+1,0)</f>
        <v>0</v>
      </c>
      <c r="I22" s="46" t="n">
        <f aca="false">IF(I8="x",H22+1,0)</f>
        <v>0</v>
      </c>
      <c r="J22" s="46" t="n">
        <f aca="false">IF(J8="x",I22+1,0)</f>
        <v>0</v>
      </c>
      <c r="K22" s="46" t="n">
        <f aca="false">IF(K8="x",J22+1,0)</f>
        <v>0</v>
      </c>
      <c r="L22" s="46" t="n">
        <f aca="false">IF(L8="x",K22+1,0)</f>
        <v>0</v>
      </c>
      <c r="M22" s="46" t="n">
        <f aca="false">IF(M8="x",L22+1,0)</f>
        <v>0</v>
      </c>
      <c r="N22" s="46" t="n">
        <f aca="false">IF(N8="x",M22+1,0)</f>
        <v>0</v>
      </c>
      <c r="O22" s="46" t="n">
        <f aca="false">IF(O8="x",N22+1,0)</f>
        <v>0</v>
      </c>
      <c r="P22" s="46" t="n">
        <f aca="false">IF(P8="x",O22+1,0)</f>
        <v>0</v>
      </c>
      <c r="Q22" s="46" t="n">
        <f aca="false">IF(Q8="x",P22+1,0)</f>
        <v>0</v>
      </c>
      <c r="R22" s="46" t="n">
        <f aca="false">IF(R8="x",Q22+1,0)</f>
        <v>0</v>
      </c>
      <c r="S22" s="46" t="n">
        <f aca="false">IF(S8="x",R22+1,0)</f>
        <v>0</v>
      </c>
      <c r="T22" s="46" t="n">
        <f aca="false">IF(T8="x",S22+1,0)</f>
        <v>0</v>
      </c>
      <c r="U22" s="46" t="n">
        <f aca="false">IF(U8="x",T22+1,0)</f>
        <v>0</v>
      </c>
      <c r="V22" s="46" t="n">
        <f aca="false">IF(V8="x",U22+1,0)</f>
        <v>0</v>
      </c>
      <c r="W22" s="46" t="n">
        <f aca="false">IF(W8="x",V22+1,0)</f>
        <v>0</v>
      </c>
      <c r="X22" s="46" t="n">
        <f aca="false">IF(X8="x",W22+1,0)</f>
        <v>0</v>
      </c>
      <c r="Y22" s="46" t="n">
        <f aca="false">IF(Y8="x",X22+1,0)</f>
        <v>0</v>
      </c>
      <c r="Z22" s="46" t="n">
        <f aca="false">IF(Z8="x",Y22+1,0)</f>
        <v>0</v>
      </c>
      <c r="AA22" s="46" t="n">
        <f aca="false">IF(AA8="x",Z22+1,0)</f>
        <v>0</v>
      </c>
      <c r="AB22" s="46" t="n">
        <f aca="false">IF(AB8="x",AA22+1,0)</f>
        <v>0</v>
      </c>
      <c r="AC22" s="46" t="n">
        <f aca="false">IF(AC8="x",AB22+1,0)</f>
        <v>0</v>
      </c>
      <c r="AD22" s="46" t="n">
        <f aca="false">IF(AD8="x",AC22+1,0)</f>
        <v>0</v>
      </c>
      <c r="AE22" s="46" t="n">
        <f aca="false">IF(AE8="x",AD22+1,0)</f>
        <v>0</v>
      </c>
      <c r="AF22" s="46" t="n">
        <f aca="false">IF(AF8="x",AE22+1,0)</f>
        <v>0</v>
      </c>
      <c r="AG22" s="46" t="n">
        <f aca="false">IF(AG8="x",AF22+1,0)</f>
        <v>0</v>
      </c>
      <c r="AH22" s="46" t="n">
        <f aca="false">IF(AH8="x",AG22+1,0)</f>
        <v>0</v>
      </c>
    </row>
    <row r="23" customFormat="false" ht="15" hidden="true" customHeight="false" outlineLevel="0" collapsed="false">
      <c r="B23" s="45" t="str">
        <f aca="false">IF($B9="","",$B9)</f>
        <v>Revisar pendientes de la semana</v>
      </c>
      <c r="D23" s="46" t="n">
        <f aca="false">IF(D9="x",1,0)</f>
        <v>0</v>
      </c>
      <c r="E23" s="46" t="n">
        <f aca="false">IF(E9="x",D23+1,0)</f>
        <v>0</v>
      </c>
      <c r="F23" s="46" t="n">
        <f aca="false">IF(F9="x",E23+1,0)</f>
        <v>0</v>
      </c>
      <c r="G23" s="46" t="n">
        <f aca="false">IF(G9="x",F23+1,0)</f>
        <v>0</v>
      </c>
      <c r="H23" s="46" t="n">
        <f aca="false">IF(H9="x",G23+1,0)</f>
        <v>0</v>
      </c>
      <c r="I23" s="46" t="n">
        <f aca="false">IF(I9="x",H23+1,0)</f>
        <v>0</v>
      </c>
      <c r="J23" s="46" t="n">
        <f aca="false">IF(J9="x",I23+1,0)</f>
        <v>0</v>
      </c>
      <c r="K23" s="46" t="n">
        <f aca="false">IF(K9="x",J23+1,0)</f>
        <v>0</v>
      </c>
      <c r="L23" s="46" t="n">
        <f aca="false">IF(L9="x",K23+1,0)</f>
        <v>0</v>
      </c>
      <c r="M23" s="46" t="n">
        <f aca="false">IF(M9="x",L23+1,0)</f>
        <v>0</v>
      </c>
      <c r="N23" s="46" t="n">
        <f aca="false">IF(N9="x",M23+1,0)</f>
        <v>0</v>
      </c>
      <c r="O23" s="46" t="n">
        <f aca="false">IF(O9="x",N23+1,0)</f>
        <v>0</v>
      </c>
      <c r="P23" s="46" t="n">
        <f aca="false">IF(P9="x",O23+1,0)</f>
        <v>0</v>
      </c>
      <c r="Q23" s="46" t="n">
        <f aca="false">IF(Q9="x",P23+1,0)</f>
        <v>0</v>
      </c>
      <c r="R23" s="46" t="n">
        <f aca="false">IF(R9="x",Q23+1,0)</f>
        <v>0</v>
      </c>
      <c r="S23" s="46" t="n">
        <f aca="false">IF(S9="x",R23+1,0)</f>
        <v>0</v>
      </c>
      <c r="T23" s="46" t="n">
        <f aca="false">IF(T9="x",S23+1,0)</f>
        <v>0</v>
      </c>
      <c r="U23" s="46" t="n">
        <f aca="false">IF(U9="x",T23+1,0)</f>
        <v>0</v>
      </c>
      <c r="V23" s="46" t="n">
        <f aca="false">IF(V9="x",U23+1,0)</f>
        <v>0</v>
      </c>
      <c r="W23" s="46" t="n">
        <f aca="false">IF(W9="x",V23+1,0)</f>
        <v>0</v>
      </c>
      <c r="X23" s="46" t="n">
        <f aca="false">IF(X9="x",W23+1,0)</f>
        <v>0</v>
      </c>
      <c r="Y23" s="46" t="n">
        <f aca="false">IF(Y9="x",X23+1,0)</f>
        <v>0</v>
      </c>
      <c r="Z23" s="46" t="n">
        <f aca="false">IF(Z9="x",Y23+1,0)</f>
        <v>0</v>
      </c>
      <c r="AA23" s="46" t="n">
        <f aca="false">IF(AA9="x",Z23+1,0)</f>
        <v>0</v>
      </c>
      <c r="AB23" s="46" t="n">
        <f aca="false">IF(AB9="x",AA23+1,0)</f>
        <v>0</v>
      </c>
      <c r="AC23" s="46" t="n">
        <f aca="false">IF(AC9="x",AB23+1,0)</f>
        <v>0</v>
      </c>
      <c r="AD23" s="46" t="n">
        <f aca="false">IF(AD9="x",AC23+1,0)</f>
        <v>0</v>
      </c>
      <c r="AE23" s="46" t="n">
        <f aca="false">IF(AE9="x",AD23+1,0)</f>
        <v>0</v>
      </c>
      <c r="AF23" s="46" t="n">
        <f aca="false">IF(AF9="x",AE23+1,0)</f>
        <v>0</v>
      </c>
      <c r="AG23" s="46" t="n">
        <f aca="false">IF(AG9="x",AF23+1,0)</f>
        <v>0</v>
      </c>
      <c r="AH23" s="46" t="n">
        <f aca="false">IF(AH9="x",AG23+1,0)</f>
        <v>0</v>
      </c>
    </row>
    <row r="24" customFormat="false" ht="15" hidden="true" customHeight="false" outlineLevel="0" collapsed="false">
      <c r="B24" s="45" t="str">
        <f aca="false">IF($B10="","",$B10)</f>
        <v>Practicar guitarra 15 minutos</v>
      </c>
      <c r="D24" s="46" t="n">
        <f aca="false">IF(D10="x",1,0)</f>
        <v>0</v>
      </c>
      <c r="E24" s="46" t="n">
        <f aca="false">IF(E10="x",D24+1,0)</f>
        <v>0</v>
      </c>
      <c r="F24" s="46" t="n">
        <f aca="false">IF(F10="x",E24+1,0)</f>
        <v>0</v>
      </c>
      <c r="G24" s="46" t="n">
        <f aca="false">IF(G10="x",F24+1,0)</f>
        <v>0</v>
      </c>
      <c r="H24" s="46" t="n">
        <f aca="false">IF(H10="x",G24+1,0)</f>
        <v>0</v>
      </c>
      <c r="I24" s="46" t="n">
        <f aca="false">IF(I10="x",H24+1,0)</f>
        <v>0</v>
      </c>
      <c r="J24" s="46" t="n">
        <f aca="false">IF(J10="x",I24+1,0)</f>
        <v>0</v>
      </c>
      <c r="K24" s="46" t="n">
        <f aca="false">IF(K10="x",J24+1,0)</f>
        <v>0</v>
      </c>
      <c r="L24" s="46" t="n">
        <f aca="false">IF(L10="x",K24+1,0)</f>
        <v>0</v>
      </c>
      <c r="M24" s="46" t="n">
        <f aca="false">IF(M10="x",L24+1,0)</f>
        <v>0</v>
      </c>
      <c r="N24" s="46" t="n">
        <f aca="false">IF(N10="x",M24+1,0)</f>
        <v>0</v>
      </c>
      <c r="O24" s="46" t="n">
        <f aca="false">IF(O10="x",N24+1,0)</f>
        <v>0</v>
      </c>
      <c r="P24" s="46" t="n">
        <f aca="false">IF(P10="x",O24+1,0)</f>
        <v>0</v>
      </c>
      <c r="Q24" s="46" t="n">
        <f aca="false">IF(Q10="x",P24+1,0)</f>
        <v>0</v>
      </c>
      <c r="R24" s="46" t="n">
        <f aca="false">IF(R10="x",Q24+1,0)</f>
        <v>0</v>
      </c>
      <c r="S24" s="46" t="n">
        <f aca="false">IF(S10="x",R24+1,0)</f>
        <v>0</v>
      </c>
      <c r="T24" s="46" t="n">
        <f aca="false">IF(T10="x",S24+1,0)</f>
        <v>0</v>
      </c>
      <c r="U24" s="46" t="n">
        <f aca="false">IF(U10="x",T24+1,0)</f>
        <v>0</v>
      </c>
      <c r="V24" s="46" t="n">
        <f aca="false">IF(V10="x",U24+1,0)</f>
        <v>0</v>
      </c>
      <c r="W24" s="46" t="n">
        <f aca="false">IF(W10="x",V24+1,0)</f>
        <v>0</v>
      </c>
      <c r="X24" s="46" t="n">
        <f aca="false">IF(X10="x",W24+1,0)</f>
        <v>0</v>
      </c>
      <c r="Y24" s="46" t="n">
        <f aca="false">IF(Y10="x",X24+1,0)</f>
        <v>0</v>
      </c>
      <c r="Z24" s="46" t="n">
        <f aca="false">IF(Z10="x",Y24+1,0)</f>
        <v>0</v>
      </c>
      <c r="AA24" s="46" t="n">
        <f aca="false">IF(AA10="x",Z24+1,0)</f>
        <v>0</v>
      </c>
      <c r="AB24" s="46" t="n">
        <f aca="false">IF(AB10="x",AA24+1,0)</f>
        <v>0</v>
      </c>
      <c r="AC24" s="46" t="n">
        <f aca="false">IF(AC10="x",AB24+1,0)</f>
        <v>0</v>
      </c>
      <c r="AD24" s="46" t="n">
        <f aca="false">IF(AD10="x",AC24+1,0)</f>
        <v>0</v>
      </c>
      <c r="AE24" s="46" t="n">
        <f aca="false">IF(AE10="x",AD24+1,0)</f>
        <v>0</v>
      </c>
      <c r="AF24" s="46" t="n">
        <f aca="false">IF(AF10="x",AE24+1,0)</f>
        <v>0</v>
      </c>
      <c r="AG24" s="46" t="n">
        <f aca="false">IF(AG10="x",AF24+1,0)</f>
        <v>0</v>
      </c>
      <c r="AH24" s="46" t="n">
        <f aca="false">IF(AH10="x",AG24+1,0)</f>
        <v>0</v>
      </c>
    </row>
    <row r="25" customFormat="false" ht="15" hidden="true" customHeight="false" outlineLevel="0" collapsed="false">
      <c r="B25" s="45" t="str">
        <f aca="false">IF($B11="","",$B11)</f>
        <v/>
      </c>
      <c r="D25" s="46" t="n">
        <f aca="false">IF(D11="x",1,0)</f>
        <v>0</v>
      </c>
      <c r="E25" s="46" t="n">
        <f aca="false">IF(E11="x",D25+1,0)</f>
        <v>0</v>
      </c>
      <c r="F25" s="46" t="n">
        <f aca="false">IF(F11="x",E25+1,0)</f>
        <v>0</v>
      </c>
      <c r="G25" s="46" t="n">
        <f aca="false">IF(G11="x",F25+1,0)</f>
        <v>0</v>
      </c>
      <c r="H25" s="46" t="n">
        <f aca="false">IF(H11="x",G25+1,0)</f>
        <v>0</v>
      </c>
      <c r="I25" s="46" t="n">
        <f aca="false">IF(I11="x",H25+1,0)</f>
        <v>0</v>
      </c>
      <c r="J25" s="46" t="n">
        <f aca="false">IF(J11="x",I25+1,0)</f>
        <v>0</v>
      </c>
      <c r="K25" s="46" t="n">
        <f aca="false">IF(K11="x",J25+1,0)</f>
        <v>0</v>
      </c>
      <c r="L25" s="46" t="n">
        <f aca="false">IF(L11="x",K25+1,0)</f>
        <v>0</v>
      </c>
      <c r="M25" s="46" t="n">
        <f aca="false">IF(M11="x",L25+1,0)</f>
        <v>0</v>
      </c>
      <c r="N25" s="46" t="n">
        <f aca="false">IF(N11="x",M25+1,0)</f>
        <v>0</v>
      </c>
      <c r="O25" s="46" t="n">
        <f aca="false">IF(O11="x",N25+1,0)</f>
        <v>0</v>
      </c>
      <c r="P25" s="46" t="n">
        <f aca="false">IF(P11="x",O25+1,0)</f>
        <v>0</v>
      </c>
      <c r="Q25" s="46" t="n">
        <f aca="false">IF(Q11="x",P25+1,0)</f>
        <v>0</v>
      </c>
      <c r="R25" s="46" t="n">
        <f aca="false">IF(R11="x",Q25+1,0)</f>
        <v>0</v>
      </c>
      <c r="S25" s="46" t="n">
        <f aca="false">IF(S11="x",R25+1,0)</f>
        <v>0</v>
      </c>
      <c r="T25" s="46" t="n">
        <f aca="false">IF(T11="x",S25+1,0)</f>
        <v>0</v>
      </c>
      <c r="U25" s="46" t="n">
        <f aca="false">IF(U11="x",T25+1,0)</f>
        <v>0</v>
      </c>
      <c r="V25" s="46" t="n">
        <f aca="false">IF(V11="x",U25+1,0)</f>
        <v>0</v>
      </c>
      <c r="W25" s="46" t="n">
        <f aca="false">IF(W11="x",V25+1,0)</f>
        <v>0</v>
      </c>
      <c r="X25" s="46" t="n">
        <f aca="false">IF(X11="x",W25+1,0)</f>
        <v>0</v>
      </c>
      <c r="Y25" s="46" t="n">
        <f aca="false">IF(Y11="x",X25+1,0)</f>
        <v>0</v>
      </c>
      <c r="Z25" s="46" t="n">
        <f aca="false">IF(Z11="x",Y25+1,0)</f>
        <v>0</v>
      </c>
      <c r="AA25" s="46" t="n">
        <f aca="false">IF(AA11="x",Z25+1,0)</f>
        <v>0</v>
      </c>
      <c r="AB25" s="46" t="n">
        <f aca="false">IF(AB11="x",AA25+1,0)</f>
        <v>0</v>
      </c>
      <c r="AC25" s="46" t="n">
        <f aca="false">IF(AC11="x",AB25+1,0)</f>
        <v>0</v>
      </c>
      <c r="AD25" s="46" t="n">
        <f aca="false">IF(AD11="x",AC25+1,0)</f>
        <v>0</v>
      </c>
      <c r="AE25" s="46" t="n">
        <f aca="false">IF(AE11="x",AD25+1,0)</f>
        <v>0</v>
      </c>
      <c r="AF25" s="46" t="n">
        <f aca="false">IF(AF11="x",AE25+1,0)</f>
        <v>0</v>
      </c>
      <c r="AG25" s="46" t="n">
        <f aca="false">IF(AG11="x",AF25+1,0)</f>
        <v>0</v>
      </c>
      <c r="AH25" s="46" t="n">
        <f aca="false">IF(AH11="x",AG25+1,0)</f>
        <v>0</v>
      </c>
    </row>
    <row r="26" customFormat="false" ht="15" hidden="true" customHeight="false" outlineLevel="0" collapsed="false">
      <c r="B26" s="45" t="str">
        <f aca="false">IF($B12="","",$B12)</f>
        <v/>
      </c>
      <c r="D26" s="46" t="n">
        <f aca="false">IF(D12="x",1,0)</f>
        <v>0</v>
      </c>
      <c r="E26" s="46" t="n">
        <f aca="false">IF(E12="x",D26+1,0)</f>
        <v>0</v>
      </c>
      <c r="F26" s="46" t="n">
        <f aca="false">IF(F12="x",E26+1,0)</f>
        <v>0</v>
      </c>
      <c r="G26" s="46" t="n">
        <f aca="false">IF(G12="x",F26+1,0)</f>
        <v>0</v>
      </c>
      <c r="H26" s="46" t="n">
        <f aca="false">IF(H12="x",G26+1,0)</f>
        <v>0</v>
      </c>
      <c r="I26" s="46" t="n">
        <f aca="false">IF(I12="x",H26+1,0)</f>
        <v>0</v>
      </c>
      <c r="J26" s="46" t="n">
        <f aca="false">IF(J12="x",I26+1,0)</f>
        <v>0</v>
      </c>
      <c r="K26" s="46" t="n">
        <f aca="false">IF(K12="x",J26+1,0)</f>
        <v>0</v>
      </c>
      <c r="L26" s="46" t="n">
        <f aca="false">IF(L12="x",K26+1,0)</f>
        <v>0</v>
      </c>
      <c r="M26" s="46" t="n">
        <f aca="false">IF(M12="x",L26+1,0)</f>
        <v>0</v>
      </c>
      <c r="N26" s="46" t="n">
        <f aca="false">IF(N12="x",M26+1,0)</f>
        <v>0</v>
      </c>
      <c r="O26" s="46" t="n">
        <f aca="false">IF(O12="x",N26+1,0)</f>
        <v>0</v>
      </c>
      <c r="P26" s="46" t="n">
        <f aca="false">IF(P12="x",O26+1,0)</f>
        <v>0</v>
      </c>
      <c r="Q26" s="46" t="n">
        <f aca="false">IF(Q12="x",P26+1,0)</f>
        <v>0</v>
      </c>
      <c r="R26" s="46" t="n">
        <f aca="false">IF(R12="x",Q26+1,0)</f>
        <v>0</v>
      </c>
      <c r="S26" s="46" t="n">
        <f aca="false">IF(S12="x",R26+1,0)</f>
        <v>0</v>
      </c>
      <c r="T26" s="46" t="n">
        <f aca="false">IF(T12="x",S26+1,0)</f>
        <v>0</v>
      </c>
      <c r="U26" s="46" t="n">
        <f aca="false">IF(U12="x",T26+1,0)</f>
        <v>0</v>
      </c>
      <c r="V26" s="46" t="n">
        <f aca="false">IF(V12="x",U26+1,0)</f>
        <v>0</v>
      </c>
      <c r="W26" s="46" t="n">
        <f aca="false">IF(W12="x",V26+1,0)</f>
        <v>0</v>
      </c>
      <c r="X26" s="46" t="n">
        <f aca="false">IF(X12="x",W26+1,0)</f>
        <v>0</v>
      </c>
      <c r="Y26" s="46" t="n">
        <f aca="false">IF(Y12="x",X26+1,0)</f>
        <v>0</v>
      </c>
      <c r="Z26" s="46" t="n">
        <f aca="false">IF(Z12="x",Y26+1,0)</f>
        <v>0</v>
      </c>
      <c r="AA26" s="46" t="n">
        <f aca="false">IF(AA12="x",Z26+1,0)</f>
        <v>0</v>
      </c>
      <c r="AB26" s="46" t="n">
        <f aca="false">IF(AB12="x",AA26+1,0)</f>
        <v>0</v>
      </c>
      <c r="AC26" s="46" t="n">
        <f aca="false">IF(AC12="x",AB26+1,0)</f>
        <v>0</v>
      </c>
      <c r="AD26" s="46" t="n">
        <f aca="false">IF(AD12="x",AC26+1,0)</f>
        <v>0</v>
      </c>
      <c r="AE26" s="46" t="n">
        <f aca="false">IF(AE12="x",AD26+1,0)</f>
        <v>0</v>
      </c>
      <c r="AF26" s="46" t="n">
        <f aca="false">IF(AF12="x",AE26+1,0)</f>
        <v>0</v>
      </c>
      <c r="AG26" s="46" t="n">
        <f aca="false">IF(AG12="x",AF26+1,0)</f>
        <v>0</v>
      </c>
      <c r="AH26" s="46" t="n">
        <f aca="false">IF(AH12="x",AG26+1,0)</f>
        <v>0</v>
      </c>
    </row>
    <row r="27" customFormat="false" ht="15" hidden="true" customHeight="false" outlineLevel="0" collapsed="false">
      <c r="B27" s="45" t="str">
        <f aca="false">IF($B13="","",$B13)</f>
        <v/>
      </c>
      <c r="D27" s="46" t="n">
        <f aca="false">IF(D13="x",1,0)</f>
        <v>0</v>
      </c>
      <c r="E27" s="46" t="n">
        <f aca="false">IF(E13="x",D27+1,0)</f>
        <v>0</v>
      </c>
      <c r="F27" s="46" t="n">
        <f aca="false">IF(F13="x",E27+1,0)</f>
        <v>0</v>
      </c>
      <c r="G27" s="46" t="n">
        <f aca="false">IF(G13="x",F27+1,0)</f>
        <v>0</v>
      </c>
      <c r="H27" s="46" t="n">
        <f aca="false">IF(H13="x",G27+1,0)</f>
        <v>0</v>
      </c>
      <c r="I27" s="46" t="n">
        <f aca="false">IF(I13="x",H27+1,0)</f>
        <v>0</v>
      </c>
      <c r="J27" s="46" t="n">
        <f aca="false">IF(J13="x",I27+1,0)</f>
        <v>0</v>
      </c>
      <c r="K27" s="46" t="n">
        <f aca="false">IF(K13="x",J27+1,0)</f>
        <v>0</v>
      </c>
      <c r="L27" s="46" t="n">
        <f aca="false">IF(L13="x",K27+1,0)</f>
        <v>0</v>
      </c>
      <c r="M27" s="46" t="n">
        <f aca="false">IF(M13="x",L27+1,0)</f>
        <v>0</v>
      </c>
      <c r="N27" s="46" t="n">
        <f aca="false">IF(N13="x",M27+1,0)</f>
        <v>0</v>
      </c>
      <c r="O27" s="46" t="n">
        <f aca="false">IF(O13="x",N27+1,0)</f>
        <v>0</v>
      </c>
      <c r="P27" s="46" t="n">
        <f aca="false">IF(P13="x",O27+1,0)</f>
        <v>0</v>
      </c>
      <c r="Q27" s="46" t="n">
        <f aca="false">IF(Q13="x",P27+1,0)</f>
        <v>0</v>
      </c>
      <c r="R27" s="46" t="n">
        <f aca="false">IF(R13="x",Q27+1,0)</f>
        <v>0</v>
      </c>
      <c r="S27" s="46" t="n">
        <f aca="false">IF(S13="x",R27+1,0)</f>
        <v>0</v>
      </c>
      <c r="T27" s="46" t="n">
        <f aca="false">IF(T13="x",S27+1,0)</f>
        <v>0</v>
      </c>
      <c r="U27" s="46" t="n">
        <f aca="false">IF(U13="x",T27+1,0)</f>
        <v>0</v>
      </c>
      <c r="V27" s="46" t="n">
        <f aca="false">IF(V13="x",U27+1,0)</f>
        <v>0</v>
      </c>
      <c r="W27" s="46" t="n">
        <f aca="false">IF(W13="x",V27+1,0)</f>
        <v>0</v>
      </c>
      <c r="X27" s="46" t="n">
        <f aca="false">IF(X13="x",W27+1,0)</f>
        <v>0</v>
      </c>
      <c r="Y27" s="46" t="n">
        <f aca="false">IF(Y13="x",X27+1,0)</f>
        <v>0</v>
      </c>
      <c r="Z27" s="46" t="n">
        <f aca="false">IF(Z13="x",Y27+1,0)</f>
        <v>0</v>
      </c>
      <c r="AA27" s="46" t="n">
        <f aca="false">IF(AA13="x",Z27+1,0)</f>
        <v>0</v>
      </c>
      <c r="AB27" s="46" t="n">
        <f aca="false">IF(AB13="x",AA27+1,0)</f>
        <v>0</v>
      </c>
      <c r="AC27" s="46" t="n">
        <f aca="false">IF(AC13="x",AB27+1,0)</f>
        <v>0</v>
      </c>
      <c r="AD27" s="46" t="n">
        <f aca="false">IF(AD13="x",AC27+1,0)</f>
        <v>0</v>
      </c>
      <c r="AE27" s="46" t="n">
        <f aca="false">IF(AE13="x",AD27+1,0)</f>
        <v>0</v>
      </c>
      <c r="AF27" s="46" t="n">
        <f aca="false">IF(AF13="x",AE27+1,0)</f>
        <v>0</v>
      </c>
      <c r="AG27" s="46" t="n">
        <f aca="false">IF(AG13="x",AF27+1,0)</f>
        <v>0</v>
      </c>
      <c r="AH27" s="46" t="n">
        <f aca="false">IF(AH13="x",AG27+1,0)</f>
        <v>0</v>
      </c>
    </row>
    <row r="28" customFormat="false" ht="15" hidden="true" customHeight="false" outlineLevel="0" collapsed="false">
      <c r="B28" s="45" t="str">
        <f aca="false">IF($B14="","",$B14)</f>
        <v/>
      </c>
      <c r="D28" s="46" t="n">
        <f aca="false">IF(D14="x",1,0)</f>
        <v>0</v>
      </c>
      <c r="E28" s="46" t="n">
        <f aca="false">IF(E14="x",D28+1,0)</f>
        <v>0</v>
      </c>
      <c r="F28" s="46" t="n">
        <f aca="false">IF(F14="x",E28+1,0)</f>
        <v>0</v>
      </c>
      <c r="G28" s="46" t="n">
        <f aca="false">IF(G14="x",F28+1,0)</f>
        <v>0</v>
      </c>
      <c r="H28" s="46" t="n">
        <f aca="false">IF(H14="x",G28+1,0)</f>
        <v>0</v>
      </c>
      <c r="I28" s="46" t="n">
        <f aca="false">IF(I14="x",H28+1,0)</f>
        <v>0</v>
      </c>
      <c r="J28" s="46" t="n">
        <f aca="false">IF(J14="x",I28+1,0)</f>
        <v>0</v>
      </c>
      <c r="K28" s="46" t="n">
        <f aca="false">IF(K14="x",J28+1,0)</f>
        <v>0</v>
      </c>
      <c r="L28" s="46" t="n">
        <f aca="false">IF(L14="x",K28+1,0)</f>
        <v>0</v>
      </c>
      <c r="M28" s="46" t="n">
        <f aca="false">IF(M14="x",L28+1,0)</f>
        <v>0</v>
      </c>
      <c r="N28" s="46" t="n">
        <f aca="false">IF(N14="x",M28+1,0)</f>
        <v>0</v>
      </c>
      <c r="O28" s="46" t="n">
        <f aca="false">IF(O14="x",N28+1,0)</f>
        <v>0</v>
      </c>
      <c r="P28" s="46" t="n">
        <f aca="false">IF(P14="x",O28+1,0)</f>
        <v>0</v>
      </c>
      <c r="Q28" s="46" t="n">
        <f aca="false">IF(Q14="x",P28+1,0)</f>
        <v>0</v>
      </c>
      <c r="R28" s="46" t="n">
        <f aca="false">IF(R14="x",Q28+1,0)</f>
        <v>0</v>
      </c>
      <c r="S28" s="46" t="n">
        <f aca="false">IF(S14="x",R28+1,0)</f>
        <v>0</v>
      </c>
      <c r="T28" s="46" t="n">
        <f aca="false">IF(T14="x",S28+1,0)</f>
        <v>0</v>
      </c>
      <c r="U28" s="46" t="n">
        <f aca="false">IF(U14="x",T28+1,0)</f>
        <v>0</v>
      </c>
      <c r="V28" s="46" t="n">
        <f aca="false">IF(V14="x",U28+1,0)</f>
        <v>0</v>
      </c>
      <c r="W28" s="46" t="n">
        <f aca="false">IF(W14="x",V28+1,0)</f>
        <v>0</v>
      </c>
      <c r="X28" s="46" t="n">
        <f aca="false">IF(X14="x",W28+1,0)</f>
        <v>0</v>
      </c>
      <c r="Y28" s="46" t="n">
        <f aca="false">IF(Y14="x",X28+1,0)</f>
        <v>0</v>
      </c>
      <c r="Z28" s="46" t="n">
        <f aca="false">IF(Z14="x",Y28+1,0)</f>
        <v>0</v>
      </c>
      <c r="AA28" s="46" t="n">
        <f aca="false">IF(AA14="x",Z28+1,0)</f>
        <v>0</v>
      </c>
      <c r="AB28" s="46" t="n">
        <f aca="false">IF(AB14="x",AA28+1,0)</f>
        <v>0</v>
      </c>
      <c r="AC28" s="46" t="n">
        <f aca="false">IF(AC14="x",AB28+1,0)</f>
        <v>0</v>
      </c>
      <c r="AD28" s="46" t="n">
        <f aca="false">IF(AD14="x",AC28+1,0)</f>
        <v>0</v>
      </c>
      <c r="AE28" s="46" t="n">
        <f aca="false">IF(AE14="x",AD28+1,0)</f>
        <v>0</v>
      </c>
      <c r="AF28" s="46" t="n">
        <f aca="false">IF(AF14="x",AE28+1,0)</f>
        <v>0</v>
      </c>
      <c r="AG28" s="46" t="n">
        <f aca="false">IF(AG14="x",AF28+1,0)</f>
        <v>0</v>
      </c>
      <c r="AH28" s="46" t="n">
        <f aca="false">IF(AH14="x",AG28+1,0)</f>
        <v>0</v>
      </c>
    </row>
    <row r="29" customFormat="false" ht="15" hidden="true" customHeight="false" outlineLevel="0" collapsed="false">
      <c r="B29" s="45" t="str">
        <f aca="false">IF($B15="","",$B15)</f>
        <v/>
      </c>
      <c r="D29" s="46" t="n">
        <f aca="false">IF(D15="x",1,0)</f>
        <v>0</v>
      </c>
      <c r="E29" s="46" t="n">
        <f aca="false">IF(E15="x",D29+1,0)</f>
        <v>0</v>
      </c>
      <c r="F29" s="46" t="n">
        <f aca="false">IF(F15="x",E29+1,0)</f>
        <v>0</v>
      </c>
      <c r="G29" s="46" t="n">
        <f aca="false">IF(G15="x",F29+1,0)</f>
        <v>0</v>
      </c>
      <c r="H29" s="46" t="n">
        <f aca="false">IF(H15="x",G29+1,0)</f>
        <v>0</v>
      </c>
      <c r="I29" s="46" t="n">
        <f aca="false">IF(I15="x",H29+1,0)</f>
        <v>0</v>
      </c>
      <c r="J29" s="46" t="n">
        <f aca="false">IF(J15="x",I29+1,0)</f>
        <v>0</v>
      </c>
      <c r="K29" s="46" t="n">
        <f aca="false">IF(K15="x",J29+1,0)</f>
        <v>0</v>
      </c>
      <c r="L29" s="46" t="n">
        <f aca="false">IF(L15="x",K29+1,0)</f>
        <v>0</v>
      </c>
      <c r="M29" s="46" t="n">
        <f aca="false">IF(M15="x",L29+1,0)</f>
        <v>0</v>
      </c>
      <c r="N29" s="46" t="n">
        <f aca="false">IF(N15="x",M29+1,0)</f>
        <v>0</v>
      </c>
      <c r="O29" s="46" t="n">
        <f aca="false">IF(O15="x",N29+1,0)</f>
        <v>0</v>
      </c>
      <c r="P29" s="46" t="n">
        <f aca="false">IF(P15="x",O29+1,0)</f>
        <v>0</v>
      </c>
      <c r="Q29" s="46" t="n">
        <f aca="false">IF(Q15="x",P29+1,0)</f>
        <v>0</v>
      </c>
      <c r="R29" s="46" t="n">
        <f aca="false">IF(R15="x",Q29+1,0)</f>
        <v>0</v>
      </c>
      <c r="S29" s="46" t="n">
        <f aca="false">IF(S15="x",R29+1,0)</f>
        <v>0</v>
      </c>
      <c r="T29" s="46" t="n">
        <f aca="false">IF(T15="x",S29+1,0)</f>
        <v>0</v>
      </c>
      <c r="U29" s="46" t="n">
        <f aca="false">IF(U15="x",T29+1,0)</f>
        <v>0</v>
      </c>
      <c r="V29" s="46" t="n">
        <f aca="false">IF(V15="x",U29+1,0)</f>
        <v>0</v>
      </c>
      <c r="W29" s="46" t="n">
        <f aca="false">IF(W15="x",V29+1,0)</f>
        <v>0</v>
      </c>
      <c r="X29" s="46" t="n">
        <f aca="false">IF(X15="x",W29+1,0)</f>
        <v>0</v>
      </c>
      <c r="Y29" s="46" t="n">
        <f aca="false">IF(Y15="x",X29+1,0)</f>
        <v>0</v>
      </c>
      <c r="Z29" s="46" t="n">
        <f aca="false">IF(Z15="x",Y29+1,0)</f>
        <v>0</v>
      </c>
      <c r="AA29" s="46" t="n">
        <f aca="false">IF(AA15="x",Z29+1,0)</f>
        <v>0</v>
      </c>
      <c r="AB29" s="46" t="n">
        <f aca="false">IF(AB15="x",AA29+1,0)</f>
        <v>0</v>
      </c>
      <c r="AC29" s="46" t="n">
        <f aca="false">IF(AC15="x",AB29+1,0)</f>
        <v>0</v>
      </c>
      <c r="AD29" s="46" t="n">
        <f aca="false">IF(AD15="x",AC29+1,0)</f>
        <v>0</v>
      </c>
      <c r="AE29" s="46" t="n">
        <f aca="false">IF(AE15="x",AD29+1,0)</f>
        <v>0</v>
      </c>
      <c r="AF29" s="46" t="n">
        <f aca="false">IF(AF15="x",AE29+1,0)</f>
        <v>0</v>
      </c>
      <c r="AG29" s="46" t="n">
        <f aca="false">IF(AG15="x",AF29+1,0)</f>
        <v>0</v>
      </c>
      <c r="AH29" s="46" t="n">
        <f aca="false">IF(AH15="x",AG29+1,0)</f>
        <v>0</v>
      </c>
    </row>
    <row r="30" customFormat="false" ht="15" hidden="true" customHeight="false" outlineLevel="0" collapsed="false">
      <c r="B30" s="45" t="str">
        <f aca="false">IF($B16="","",$B16)</f>
        <v/>
      </c>
      <c r="D30" s="46" t="n">
        <f aca="false">IF(D16="x",1,0)</f>
        <v>0</v>
      </c>
      <c r="E30" s="46" t="n">
        <f aca="false">IF(E16="x",D30+1,0)</f>
        <v>0</v>
      </c>
      <c r="F30" s="46" t="n">
        <f aca="false">IF(F16="x",E30+1,0)</f>
        <v>0</v>
      </c>
      <c r="G30" s="46" t="n">
        <f aca="false">IF(G16="x",F30+1,0)</f>
        <v>0</v>
      </c>
      <c r="H30" s="46" t="n">
        <f aca="false">IF(H16="x",G30+1,0)</f>
        <v>0</v>
      </c>
      <c r="I30" s="46" t="n">
        <f aca="false">IF(I16="x",H30+1,0)</f>
        <v>0</v>
      </c>
      <c r="J30" s="46" t="n">
        <f aca="false">IF(J16="x",I30+1,0)</f>
        <v>0</v>
      </c>
      <c r="K30" s="46" t="n">
        <f aca="false">IF(K16="x",J30+1,0)</f>
        <v>0</v>
      </c>
      <c r="L30" s="46" t="n">
        <f aca="false">IF(L16="x",K30+1,0)</f>
        <v>0</v>
      </c>
      <c r="M30" s="46" t="n">
        <f aca="false">IF(M16="x",L30+1,0)</f>
        <v>0</v>
      </c>
      <c r="N30" s="46" t="n">
        <f aca="false">IF(N16="x",M30+1,0)</f>
        <v>0</v>
      </c>
      <c r="O30" s="46" t="n">
        <f aca="false">IF(O16="x",N30+1,0)</f>
        <v>0</v>
      </c>
      <c r="P30" s="46" t="n">
        <f aca="false">IF(P16="x",O30+1,0)</f>
        <v>0</v>
      </c>
      <c r="Q30" s="46" t="n">
        <f aca="false">IF(Q16="x",P30+1,0)</f>
        <v>0</v>
      </c>
      <c r="R30" s="46" t="n">
        <f aca="false">IF(R16="x",Q30+1,0)</f>
        <v>0</v>
      </c>
      <c r="S30" s="46" t="n">
        <f aca="false">IF(S16="x",R30+1,0)</f>
        <v>0</v>
      </c>
      <c r="T30" s="46" t="n">
        <f aca="false">IF(T16="x",S30+1,0)</f>
        <v>0</v>
      </c>
      <c r="U30" s="46" t="n">
        <f aca="false">IF(U16="x",T30+1,0)</f>
        <v>0</v>
      </c>
      <c r="V30" s="46" t="n">
        <f aca="false">IF(V16="x",U30+1,0)</f>
        <v>0</v>
      </c>
      <c r="W30" s="46" t="n">
        <f aca="false">IF(W16="x",V30+1,0)</f>
        <v>0</v>
      </c>
      <c r="X30" s="46" t="n">
        <f aca="false">IF(X16="x",W30+1,0)</f>
        <v>0</v>
      </c>
      <c r="Y30" s="46" t="n">
        <f aca="false">IF(Y16="x",X30+1,0)</f>
        <v>0</v>
      </c>
      <c r="Z30" s="46" t="n">
        <f aca="false">IF(Z16="x",Y30+1,0)</f>
        <v>0</v>
      </c>
      <c r="AA30" s="46" t="n">
        <f aca="false">IF(AA16="x",Z30+1,0)</f>
        <v>0</v>
      </c>
      <c r="AB30" s="46" t="n">
        <f aca="false">IF(AB16="x",AA30+1,0)</f>
        <v>0</v>
      </c>
      <c r="AC30" s="46" t="n">
        <f aca="false">IF(AC16="x",AB30+1,0)</f>
        <v>0</v>
      </c>
      <c r="AD30" s="46" t="n">
        <f aca="false">IF(AD16="x",AC30+1,0)</f>
        <v>0</v>
      </c>
      <c r="AE30" s="46" t="n">
        <f aca="false">IF(AE16="x",AD30+1,0)</f>
        <v>0</v>
      </c>
      <c r="AF30" s="46" t="n">
        <f aca="false">IF(AF16="x",AE30+1,0)</f>
        <v>0</v>
      </c>
      <c r="AG30" s="46" t="n">
        <f aca="false">IF(AG16="x",AF30+1,0)</f>
        <v>0</v>
      </c>
      <c r="AH30" s="46" t="n">
        <f aca="false">IF(AH16="x",AG30+1,0)</f>
        <v>0</v>
      </c>
    </row>
    <row r="31" customFormat="false" ht="15" hidden="true" customHeight="false" outlineLevel="0" collapsed="false">
      <c r="B31" s="45" t="str">
        <f aca="false">IF($B17="","",$B17)</f>
        <v/>
      </c>
      <c r="D31" s="46" t="n">
        <f aca="false">IF(D17="x",1,0)</f>
        <v>0</v>
      </c>
      <c r="E31" s="46" t="n">
        <f aca="false">IF(E17="x",D31+1,0)</f>
        <v>0</v>
      </c>
      <c r="F31" s="46" t="n">
        <f aca="false">IF(F17="x",E31+1,0)</f>
        <v>0</v>
      </c>
      <c r="G31" s="46" t="n">
        <f aca="false">IF(G17="x",F31+1,0)</f>
        <v>0</v>
      </c>
      <c r="H31" s="46" t="n">
        <f aca="false">IF(H17="x",G31+1,0)</f>
        <v>0</v>
      </c>
      <c r="I31" s="46" t="n">
        <f aca="false">IF(I17="x",H31+1,0)</f>
        <v>0</v>
      </c>
      <c r="J31" s="46" t="n">
        <f aca="false">IF(J17="x",I31+1,0)</f>
        <v>0</v>
      </c>
      <c r="K31" s="46" t="n">
        <f aca="false">IF(K17="x",J31+1,0)</f>
        <v>0</v>
      </c>
      <c r="L31" s="46" t="n">
        <f aca="false">IF(L17="x",K31+1,0)</f>
        <v>0</v>
      </c>
      <c r="M31" s="46" t="n">
        <f aca="false">IF(M17="x",L31+1,0)</f>
        <v>0</v>
      </c>
      <c r="N31" s="46" t="n">
        <f aca="false">IF(N17="x",M31+1,0)</f>
        <v>0</v>
      </c>
      <c r="O31" s="46" t="n">
        <f aca="false">IF(O17="x",N31+1,0)</f>
        <v>0</v>
      </c>
      <c r="P31" s="46" t="n">
        <f aca="false">IF(P17="x",O31+1,0)</f>
        <v>0</v>
      </c>
      <c r="Q31" s="46" t="n">
        <f aca="false">IF(Q17="x",P31+1,0)</f>
        <v>0</v>
      </c>
      <c r="R31" s="46" t="n">
        <f aca="false">IF(R17="x",Q31+1,0)</f>
        <v>0</v>
      </c>
      <c r="S31" s="46" t="n">
        <f aca="false">IF(S17="x",R31+1,0)</f>
        <v>0</v>
      </c>
      <c r="T31" s="46" t="n">
        <f aca="false">IF(T17="x",S31+1,0)</f>
        <v>0</v>
      </c>
      <c r="U31" s="46" t="n">
        <f aca="false">IF(U17="x",T31+1,0)</f>
        <v>0</v>
      </c>
      <c r="V31" s="46" t="n">
        <f aca="false">IF(V17="x",U31+1,0)</f>
        <v>0</v>
      </c>
      <c r="W31" s="46" t="n">
        <f aca="false">IF(W17="x",V31+1,0)</f>
        <v>0</v>
      </c>
      <c r="X31" s="46" t="n">
        <f aca="false">IF(X17="x",W31+1,0)</f>
        <v>0</v>
      </c>
      <c r="Y31" s="46" t="n">
        <f aca="false">IF(Y17="x",X31+1,0)</f>
        <v>0</v>
      </c>
      <c r="Z31" s="46" t="n">
        <f aca="false">IF(Z17="x",Y31+1,0)</f>
        <v>0</v>
      </c>
      <c r="AA31" s="46" t="n">
        <f aca="false">IF(AA17="x",Z31+1,0)</f>
        <v>0</v>
      </c>
      <c r="AB31" s="46" t="n">
        <f aca="false">IF(AB17="x",AA31+1,0)</f>
        <v>0</v>
      </c>
      <c r="AC31" s="46" t="n">
        <f aca="false">IF(AC17="x",AB31+1,0)</f>
        <v>0</v>
      </c>
      <c r="AD31" s="46" t="n">
        <f aca="false">IF(AD17="x",AC31+1,0)</f>
        <v>0</v>
      </c>
      <c r="AE31" s="46" t="n">
        <f aca="false">IF(AE17="x",AD31+1,0)</f>
        <v>0</v>
      </c>
      <c r="AF31" s="46" t="n">
        <f aca="false">IF(AF17="x",AE31+1,0)</f>
        <v>0</v>
      </c>
      <c r="AG31" s="46" t="n">
        <f aca="false">IF(AG17="x",AF31+1,0)</f>
        <v>0</v>
      </c>
      <c r="AH31" s="46" t="n">
        <f aca="false">IF(AH17="x",AG31+1,0)</f>
        <v>0</v>
      </c>
    </row>
    <row r="32" customFormat="false" ht="15" hidden="true" customHeight="false" outlineLevel="0" collapsed="false">
      <c r="B32" s="45" t="str">
        <f aca="false">IF($B18="","",$B18)</f>
        <v/>
      </c>
      <c r="D32" s="46" t="n">
        <f aca="false">IF(D18="x",1,0)</f>
        <v>0</v>
      </c>
      <c r="E32" s="46" t="n">
        <f aca="false">IF(E18="x",D32+1,0)</f>
        <v>0</v>
      </c>
      <c r="F32" s="46" t="n">
        <f aca="false">IF(F18="x",E32+1,0)</f>
        <v>0</v>
      </c>
      <c r="G32" s="46" t="n">
        <f aca="false">IF(G18="x",F32+1,0)</f>
        <v>0</v>
      </c>
      <c r="H32" s="46" t="n">
        <f aca="false">IF(H18="x",G32+1,0)</f>
        <v>0</v>
      </c>
      <c r="I32" s="46" t="n">
        <f aca="false">IF(I18="x",H32+1,0)</f>
        <v>0</v>
      </c>
      <c r="J32" s="46" t="n">
        <f aca="false">IF(J18="x",I32+1,0)</f>
        <v>0</v>
      </c>
      <c r="K32" s="46" t="n">
        <f aca="false">IF(K18="x",J32+1,0)</f>
        <v>0</v>
      </c>
      <c r="L32" s="46" t="n">
        <f aca="false">IF(L18="x",K32+1,0)</f>
        <v>0</v>
      </c>
      <c r="M32" s="46" t="n">
        <f aca="false">IF(M18="x",L32+1,0)</f>
        <v>0</v>
      </c>
      <c r="N32" s="46" t="n">
        <f aca="false">IF(N18="x",M32+1,0)</f>
        <v>0</v>
      </c>
      <c r="O32" s="46" t="n">
        <f aca="false">IF(O18="x",N32+1,0)</f>
        <v>0</v>
      </c>
      <c r="P32" s="46" t="n">
        <f aca="false">IF(P18="x",O32+1,0)</f>
        <v>0</v>
      </c>
      <c r="Q32" s="46" t="n">
        <f aca="false">IF(Q18="x",P32+1,0)</f>
        <v>0</v>
      </c>
      <c r="R32" s="46" t="n">
        <f aca="false">IF(R18="x",Q32+1,0)</f>
        <v>0</v>
      </c>
      <c r="S32" s="46" t="n">
        <f aca="false">IF(S18="x",R32+1,0)</f>
        <v>0</v>
      </c>
      <c r="T32" s="46" t="n">
        <f aca="false">IF(T18="x",S32+1,0)</f>
        <v>0</v>
      </c>
      <c r="U32" s="46" t="n">
        <f aca="false">IF(U18="x",T32+1,0)</f>
        <v>0</v>
      </c>
      <c r="V32" s="46" t="n">
        <f aca="false">IF(V18="x",U32+1,0)</f>
        <v>0</v>
      </c>
      <c r="W32" s="46" t="n">
        <f aca="false">IF(W18="x",V32+1,0)</f>
        <v>0</v>
      </c>
      <c r="X32" s="46" t="n">
        <f aca="false">IF(X18="x",W32+1,0)</f>
        <v>0</v>
      </c>
      <c r="Y32" s="46" t="n">
        <f aca="false">IF(Y18="x",X32+1,0)</f>
        <v>0</v>
      </c>
      <c r="Z32" s="46" t="n">
        <f aca="false">IF(Z18="x",Y32+1,0)</f>
        <v>0</v>
      </c>
      <c r="AA32" s="46" t="n">
        <f aca="false">IF(AA18="x",Z32+1,0)</f>
        <v>0</v>
      </c>
      <c r="AB32" s="46" t="n">
        <f aca="false">IF(AB18="x",AA32+1,0)</f>
        <v>0</v>
      </c>
      <c r="AC32" s="46" t="n">
        <f aca="false">IF(AC18="x",AB32+1,0)</f>
        <v>0</v>
      </c>
      <c r="AD32" s="46" t="n">
        <f aca="false">IF(AD18="x",AC32+1,0)</f>
        <v>0</v>
      </c>
      <c r="AE32" s="46" t="n">
        <f aca="false">IF(AE18="x",AD32+1,0)</f>
        <v>0</v>
      </c>
      <c r="AF32" s="46" t="n">
        <f aca="false">IF(AF18="x",AE32+1,0)</f>
        <v>0</v>
      </c>
      <c r="AG32" s="46" t="n">
        <f aca="false">IF(AG18="x",AF32+1,0)</f>
        <v>0</v>
      </c>
      <c r="AH32" s="46" t="n">
        <f aca="false">IF(AH18="x",AG32+1,0)</f>
        <v>0</v>
      </c>
    </row>
  </sheetData>
  <mergeCells count="3">
    <mergeCell ref="A1:AL1"/>
    <mergeCell ref="A2:AL2"/>
    <mergeCell ref="A3:AL3"/>
  </mergeCells>
  <conditionalFormatting sqref="D7:AH18">
    <cfRule type="cellIs" priority="2" operator="equal" aboveAverage="0" equalAverage="0" bottom="0" percent="0" rank="0" text="" dxfId="2">
      <formula>"x"</formula>
    </cfRule>
    <cfRule type="cellIs" priority="3" operator="equal" aboveAverage="0" equalAverage="0" bottom="0" percent="0" rank="0" text="" dxfId="3">
      <formula>"-"</formula>
    </cfRule>
  </conditionalFormatting>
  <conditionalFormatting sqref="D6:D18">
    <cfRule type="expression" priority="4" aboveAverage="0" equalAverage="0" bottom="0" percent="0" rank="0" text="" dxfId="4">
      <formula>DATE(2026,12,1)=TODAY()</formula>
    </cfRule>
  </conditionalFormatting>
  <conditionalFormatting sqref="E6:E18">
    <cfRule type="expression" priority="5" aboveAverage="0" equalAverage="0" bottom="0" percent="0" rank="0" text="" dxfId="4">
      <formula>DATE(2026,12,2)=TODAY()</formula>
    </cfRule>
  </conditionalFormatting>
  <conditionalFormatting sqref="F6:F18">
    <cfRule type="expression" priority="6" aboveAverage="0" equalAverage="0" bottom="0" percent="0" rank="0" text="" dxfId="4">
      <formula>DATE(2026,12,3)=TODAY()</formula>
    </cfRule>
  </conditionalFormatting>
  <conditionalFormatting sqref="G6:G18">
    <cfRule type="expression" priority="7" aboveAverage="0" equalAverage="0" bottom="0" percent="0" rank="0" text="" dxfId="4">
      <formula>DATE(2026,12,4)=TODAY()</formula>
    </cfRule>
  </conditionalFormatting>
  <conditionalFormatting sqref="H6:H18">
    <cfRule type="expression" priority="8" aboveAverage="0" equalAverage="0" bottom="0" percent="0" rank="0" text="" dxfId="4">
      <formula>DATE(2026,12,5)=TODAY()</formula>
    </cfRule>
  </conditionalFormatting>
  <conditionalFormatting sqref="I6:I18">
    <cfRule type="expression" priority="9" aboveAverage="0" equalAverage="0" bottom="0" percent="0" rank="0" text="" dxfId="4">
      <formula>DATE(2026,12,6)=TODAY()</formula>
    </cfRule>
  </conditionalFormatting>
  <conditionalFormatting sqref="J6:J18">
    <cfRule type="expression" priority="10" aboveAverage="0" equalAverage="0" bottom="0" percent="0" rank="0" text="" dxfId="4">
      <formula>DATE(2026,12,7)=TODAY()</formula>
    </cfRule>
  </conditionalFormatting>
  <conditionalFormatting sqref="K6:K18">
    <cfRule type="expression" priority="11" aboveAverage="0" equalAverage="0" bottom="0" percent="0" rank="0" text="" dxfId="4">
      <formula>DATE(2026,12,8)=TODAY()</formula>
    </cfRule>
  </conditionalFormatting>
  <conditionalFormatting sqref="L6:L18">
    <cfRule type="expression" priority="12" aboveAverage="0" equalAverage="0" bottom="0" percent="0" rank="0" text="" dxfId="4">
      <formula>DATE(2026,12,9)=TODAY()</formula>
    </cfRule>
  </conditionalFormatting>
  <conditionalFormatting sqref="M6:M18">
    <cfRule type="expression" priority="13" aboveAverage="0" equalAverage="0" bottom="0" percent="0" rank="0" text="" dxfId="4">
      <formula>DATE(2026,12,10)=TODAY()</formula>
    </cfRule>
  </conditionalFormatting>
  <conditionalFormatting sqref="N6:N18">
    <cfRule type="expression" priority="14" aboveAverage="0" equalAverage="0" bottom="0" percent="0" rank="0" text="" dxfId="4">
      <formula>DATE(2026,12,11)=TODAY()</formula>
    </cfRule>
  </conditionalFormatting>
  <conditionalFormatting sqref="O6:O18">
    <cfRule type="expression" priority="15" aboveAverage="0" equalAverage="0" bottom="0" percent="0" rank="0" text="" dxfId="4">
      <formula>DATE(2026,12,12)=TODAY()</formula>
    </cfRule>
  </conditionalFormatting>
  <conditionalFormatting sqref="P6:P18">
    <cfRule type="expression" priority="16" aboveAverage="0" equalAverage="0" bottom="0" percent="0" rank="0" text="" dxfId="4">
      <formula>DATE(2026,12,13)=TODAY()</formula>
    </cfRule>
  </conditionalFormatting>
  <conditionalFormatting sqref="Q6:Q18">
    <cfRule type="expression" priority="17" aboveAverage="0" equalAverage="0" bottom="0" percent="0" rank="0" text="" dxfId="4">
      <formula>DATE(2026,12,14)=TODAY()</formula>
    </cfRule>
  </conditionalFormatting>
  <conditionalFormatting sqref="R6:R18">
    <cfRule type="expression" priority="18" aboveAverage="0" equalAverage="0" bottom="0" percent="0" rank="0" text="" dxfId="4">
      <formula>DATE(2026,12,15)=TODAY()</formula>
    </cfRule>
  </conditionalFormatting>
  <conditionalFormatting sqref="S6:S18">
    <cfRule type="expression" priority="19" aboveAverage="0" equalAverage="0" bottom="0" percent="0" rank="0" text="" dxfId="4">
      <formula>DATE(2026,12,16)=TODAY()</formula>
    </cfRule>
  </conditionalFormatting>
  <conditionalFormatting sqref="T6:T18">
    <cfRule type="expression" priority="20" aboveAverage="0" equalAverage="0" bottom="0" percent="0" rank="0" text="" dxfId="4">
      <formula>DATE(2026,12,17)=TODAY()</formula>
    </cfRule>
  </conditionalFormatting>
  <conditionalFormatting sqref="U6:U18">
    <cfRule type="expression" priority="21" aboveAverage="0" equalAverage="0" bottom="0" percent="0" rank="0" text="" dxfId="4">
      <formula>DATE(2026,12,18)=TODAY()</formula>
    </cfRule>
  </conditionalFormatting>
  <conditionalFormatting sqref="V6:V18">
    <cfRule type="expression" priority="22" aboveAverage="0" equalAverage="0" bottom="0" percent="0" rank="0" text="" dxfId="4">
      <formula>DATE(2026,12,19)=TODAY()</formula>
    </cfRule>
  </conditionalFormatting>
  <conditionalFormatting sqref="W6:W18">
    <cfRule type="expression" priority="23" aboveAverage="0" equalAverage="0" bottom="0" percent="0" rank="0" text="" dxfId="4">
      <formula>DATE(2026,12,20)=TODAY()</formula>
    </cfRule>
  </conditionalFormatting>
  <conditionalFormatting sqref="X6:X18">
    <cfRule type="expression" priority="24" aboveAverage="0" equalAverage="0" bottom="0" percent="0" rank="0" text="" dxfId="4">
      <formula>DATE(2026,12,21)=TODAY()</formula>
    </cfRule>
  </conditionalFormatting>
  <conditionalFormatting sqref="Y6:Y18">
    <cfRule type="expression" priority="25" aboveAverage="0" equalAverage="0" bottom="0" percent="0" rank="0" text="" dxfId="4">
      <formula>DATE(2026,12,22)=TODAY()</formula>
    </cfRule>
  </conditionalFormatting>
  <conditionalFormatting sqref="Z6:Z18">
    <cfRule type="expression" priority="26" aboveAverage="0" equalAverage="0" bottom="0" percent="0" rank="0" text="" dxfId="4">
      <formula>DATE(2026,12,23)=TODAY()</formula>
    </cfRule>
  </conditionalFormatting>
  <conditionalFormatting sqref="AA6:AA18">
    <cfRule type="expression" priority="27" aboveAverage="0" equalAverage="0" bottom="0" percent="0" rank="0" text="" dxfId="4">
      <formula>DATE(2026,12,24)=TODAY()</formula>
    </cfRule>
  </conditionalFormatting>
  <conditionalFormatting sqref="AB6:AB18">
    <cfRule type="expression" priority="28" aboveAverage="0" equalAverage="0" bottom="0" percent="0" rank="0" text="" dxfId="4">
      <formula>DATE(2026,12,25)=TODAY()</formula>
    </cfRule>
  </conditionalFormatting>
  <conditionalFormatting sqref="AC6:AC18">
    <cfRule type="expression" priority="29" aboveAverage="0" equalAverage="0" bottom="0" percent="0" rank="0" text="" dxfId="4">
      <formula>DATE(2026,12,26)=TODAY()</formula>
    </cfRule>
  </conditionalFormatting>
  <conditionalFormatting sqref="AD6:AD18">
    <cfRule type="expression" priority="30" aboveAverage="0" equalAverage="0" bottom="0" percent="0" rank="0" text="" dxfId="4">
      <formula>DATE(2026,12,27)=TODAY()</formula>
    </cfRule>
  </conditionalFormatting>
  <conditionalFormatting sqref="AE6:AE18">
    <cfRule type="expression" priority="31" aboveAverage="0" equalAverage="0" bottom="0" percent="0" rank="0" text="" dxfId="4">
      <formula>DATE(2026,12,28)=TODAY()</formula>
    </cfRule>
  </conditionalFormatting>
  <conditionalFormatting sqref="AF6:AF18">
    <cfRule type="expression" priority="32" aboveAverage="0" equalAverage="0" bottom="0" percent="0" rank="0" text="" dxfId="4">
      <formula>DATE(2026,12,29)=TODAY()</formula>
    </cfRule>
  </conditionalFormatting>
  <conditionalFormatting sqref="AG6:AG18">
    <cfRule type="expression" priority="33" aboveAverage="0" equalAverage="0" bottom="0" percent="0" rank="0" text="" dxfId="4">
      <formula>DATE(2026,12,30)=TODAY()</formula>
    </cfRule>
  </conditionalFormatting>
  <conditionalFormatting sqref="AH6:AH18">
    <cfRule type="expression" priority="34" aboveAverage="0" equalAverage="0" bottom="0" percent="0" rank="0" text="" dxfId="4">
      <formula>DATE(2026,12,31)=TODAY()</formula>
    </cfRule>
  </conditionalFormatting>
  <conditionalFormatting sqref="AK7:AK18">
    <cfRule type="colorScale" priority="35">
      <colorScale>
        <cfvo type="num" val="0"/>
        <cfvo type="num" val="0.6"/>
        <cfvo type="num" val="1"/>
        <color rgb="FFF7E4E2"/>
        <color rgb="FFFBEEDF"/>
        <color rgb="FFE3F0E7"/>
      </colorScale>
    </cfRule>
  </conditionalFormatting>
  <dataValidations count="1">
    <dataValidation allowBlank="true" errorStyle="stop" operator="between" showDropDown="false" showErrorMessage="false" showInputMessage="false" sqref="D7:AH18" type="list">
      <formula1>"x,-"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7C86"/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5" min="3" style="0" width="44"/>
    <col collapsed="false" customWidth="true" hidden="false" outlineLevel="0" max="14" min="6" style="0" width="7.5"/>
    <col collapsed="false" customWidth="true" hidden="false" outlineLevel="0" max="16" min="15" style="0" width="10"/>
  </cols>
  <sheetData>
    <row r="1" customFormat="false" ht="25.5" hidden="false" customHeight="true" outlineLevel="0" collapsed="false">
      <c r="A1" s="14" t="s">
        <v>106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Format="false" ht="15" hidden="false" customHeight="true" outlineLevel="0" collapsed="false">
      <c r="A2" s="15" t="s">
        <v>107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Format="false" ht="7.5" hidden="false" customHeight="true" outlineLevel="0" collapsed="false"/>
    <row r="6" customFormat="false" ht="21.75" hidden="false" customHeight="true" outlineLevel="0" collapsed="false">
      <c r="B6" s="23" t="s">
        <v>41</v>
      </c>
      <c r="C6" s="23" t="s">
        <v>108</v>
      </c>
      <c r="D6" s="23" t="s">
        <v>109</v>
      </c>
      <c r="E6" s="23" t="s">
        <v>110</v>
      </c>
      <c r="F6" s="23" t="s">
        <v>111</v>
      </c>
      <c r="G6" s="23" t="s">
        <v>112</v>
      </c>
      <c r="H6" s="23" t="s">
        <v>113</v>
      </c>
      <c r="I6" s="23" t="s">
        <v>114</v>
      </c>
      <c r="J6" s="23" t="s">
        <v>115</v>
      </c>
      <c r="K6" s="23" t="s">
        <v>116</v>
      </c>
      <c r="L6" s="23" t="s">
        <v>117</v>
      </c>
      <c r="M6" s="23" t="s">
        <v>118</v>
      </c>
      <c r="N6" s="23" t="s">
        <v>119</v>
      </c>
      <c r="O6" s="23" t="s">
        <v>120</v>
      </c>
      <c r="P6" s="23" t="s">
        <v>121</v>
      </c>
    </row>
    <row r="7" customFormat="false" ht="19.4" hidden="false" customHeight="false" outlineLevel="0" collapsed="false">
      <c r="B7" s="47" t="str">
        <f aca="false">'Mis Hábitos'!$B$7</f>
        <v>Leer 10 páginas</v>
      </c>
      <c r="C7" s="48" t="n">
        <f aca="false">IF($B7="","",Enero!AI7)</f>
        <v>0</v>
      </c>
      <c r="D7" s="48" t="n">
        <f aca="false">IF($B7="","",Febrero!AF7)</f>
        <v>0</v>
      </c>
      <c r="E7" s="48" t="n">
        <f aca="false">IF($B7="","",Marzo!AI7)</f>
        <v>0</v>
      </c>
      <c r="F7" s="48" t="n">
        <f aca="false">IF($B7="","",Abril!AH7)</f>
        <v>0</v>
      </c>
      <c r="G7" s="48" t="n">
        <f aca="false">IF($B7="","",Mayo!AI7)</f>
        <v>0</v>
      </c>
      <c r="H7" s="48" t="n">
        <f aca="false">IF($B7="","",Junio!AH7)</f>
        <v>0</v>
      </c>
      <c r="I7" s="48" t="n">
        <f aca="false">IF($B7="","",Julio!AI7)</f>
        <v>0</v>
      </c>
      <c r="J7" s="48" t="n">
        <f aca="false">IF($B7="","",Agosto!AI7)</f>
        <v>0</v>
      </c>
      <c r="K7" s="48" t="n">
        <f aca="false">IF($B7="","",Septiembre!AH7)</f>
        <v>0</v>
      </c>
      <c r="L7" s="48" t="n">
        <f aca="false">IF($B7="","",Octubre!AI7)</f>
        <v>0</v>
      </c>
      <c r="M7" s="48" t="n">
        <f aca="false">IF($B7="","",Noviembre!AH7)</f>
        <v>0</v>
      </c>
      <c r="N7" s="48" t="n">
        <f aca="false">IF($B7="","",Diciembre!AI7)</f>
        <v>0</v>
      </c>
      <c r="O7" s="49" t="n">
        <f aca="false">IF($B7="","",SUM($C7:$N7))</f>
        <v>0</v>
      </c>
      <c r="P7" s="50" t="n">
        <f aca="false">IF($B7="","",IFERROR($O7/SUMPRODUCT(('Mis Hábitos'!$F$7*365/7)),0))</f>
        <v>0</v>
      </c>
    </row>
    <row r="8" customFormat="false" ht="19.4" hidden="false" customHeight="false" outlineLevel="0" collapsed="false">
      <c r="B8" s="51" t="str">
        <f aca="false">'Mis Hábitos'!$B$8</f>
        <v>Caminar 30 minutos</v>
      </c>
      <c r="C8" s="52" t="n">
        <f aca="false">IF($B8="","",Enero!AI8)</f>
        <v>0</v>
      </c>
      <c r="D8" s="52" t="n">
        <f aca="false">IF($B8="","",Febrero!AF8)</f>
        <v>0</v>
      </c>
      <c r="E8" s="52" t="n">
        <f aca="false">IF($B8="","",Marzo!AI8)</f>
        <v>0</v>
      </c>
      <c r="F8" s="52" t="n">
        <f aca="false">IF($B8="","",Abril!AH8)</f>
        <v>0</v>
      </c>
      <c r="G8" s="52" t="n">
        <f aca="false">IF($B8="","",Mayo!AI8)</f>
        <v>0</v>
      </c>
      <c r="H8" s="52" t="n">
        <f aca="false">IF($B8="","",Junio!AH8)</f>
        <v>0</v>
      </c>
      <c r="I8" s="52" t="n">
        <f aca="false">IF($B8="","",Julio!AI8)</f>
        <v>0</v>
      </c>
      <c r="J8" s="52" t="n">
        <f aca="false">IF($B8="","",Agosto!AI8)</f>
        <v>0</v>
      </c>
      <c r="K8" s="52" t="n">
        <f aca="false">IF($B8="","",Septiembre!AH8)</f>
        <v>0</v>
      </c>
      <c r="L8" s="52" t="n">
        <f aca="false">IF($B8="","",Octubre!AI8)</f>
        <v>0</v>
      </c>
      <c r="M8" s="52" t="n">
        <f aca="false">IF($B8="","",Noviembre!AH8)</f>
        <v>0</v>
      </c>
      <c r="N8" s="52" t="n">
        <f aca="false">IF($B8="","",Diciembre!AI8)</f>
        <v>0</v>
      </c>
      <c r="O8" s="53" t="n">
        <f aca="false">IF($B8="","",SUM($C8:$N8))</f>
        <v>0</v>
      </c>
      <c r="P8" s="54" t="n">
        <f aca="false">IF($B8="","",IFERROR($O8/SUMPRODUCT(('Mis Hábitos'!$F$8*365/7)),0))</f>
        <v>0</v>
      </c>
    </row>
    <row r="9" customFormat="false" ht="28.35" hidden="false" customHeight="false" outlineLevel="0" collapsed="false">
      <c r="B9" s="47" t="str">
        <f aca="false">'Mis Hábitos'!$B$9</f>
        <v>Revisar pendientes de la semana</v>
      </c>
      <c r="C9" s="48" t="n">
        <f aca="false">IF($B9="","",Enero!AI9)</f>
        <v>0</v>
      </c>
      <c r="D9" s="48" t="n">
        <f aca="false">IF($B9="","",Febrero!AF9)</f>
        <v>0</v>
      </c>
      <c r="E9" s="48" t="n">
        <f aca="false">IF($B9="","",Marzo!AI9)</f>
        <v>0</v>
      </c>
      <c r="F9" s="48" t="n">
        <f aca="false">IF($B9="","",Abril!AH9)</f>
        <v>0</v>
      </c>
      <c r="G9" s="48" t="n">
        <f aca="false">IF($B9="","",Mayo!AI9)</f>
        <v>0</v>
      </c>
      <c r="H9" s="48" t="n">
        <f aca="false">IF($B9="","",Junio!AH9)</f>
        <v>0</v>
      </c>
      <c r="I9" s="48" t="n">
        <f aca="false">IF($B9="","",Julio!AI9)</f>
        <v>0</v>
      </c>
      <c r="J9" s="48" t="n">
        <f aca="false">IF($B9="","",Agosto!AI9)</f>
        <v>0</v>
      </c>
      <c r="K9" s="48" t="n">
        <f aca="false">IF($B9="","",Septiembre!AH9)</f>
        <v>0</v>
      </c>
      <c r="L9" s="48" t="n">
        <f aca="false">IF($B9="","",Octubre!AI9)</f>
        <v>0</v>
      </c>
      <c r="M9" s="48" t="n">
        <f aca="false">IF($B9="","",Noviembre!AH9)</f>
        <v>0</v>
      </c>
      <c r="N9" s="48" t="n">
        <f aca="false">IF($B9="","",Diciembre!AI9)</f>
        <v>0</v>
      </c>
      <c r="O9" s="49" t="n">
        <f aca="false">IF($B9="","",SUM($C9:$N9))</f>
        <v>0</v>
      </c>
      <c r="P9" s="50" t="n">
        <f aca="false">IF($B9="","",IFERROR($O9/SUMPRODUCT(('Mis Hábitos'!$F$9*365/7)),0))</f>
        <v>0</v>
      </c>
    </row>
    <row r="10" customFormat="false" ht="28.35" hidden="false" customHeight="false" outlineLevel="0" collapsed="false">
      <c r="B10" s="51" t="str">
        <f aca="false">'Mis Hábitos'!$B$10</f>
        <v>Practicar guitarra 15 minutos</v>
      </c>
      <c r="C10" s="52" t="n">
        <f aca="false">IF($B10="","",Enero!AI10)</f>
        <v>0</v>
      </c>
      <c r="D10" s="52" t="n">
        <f aca="false">IF($B10="","",Febrero!AF10)</f>
        <v>0</v>
      </c>
      <c r="E10" s="52" t="n">
        <f aca="false">IF($B10="","",Marzo!AI10)</f>
        <v>0</v>
      </c>
      <c r="F10" s="52" t="n">
        <f aca="false">IF($B10="","",Abril!AH10)</f>
        <v>0</v>
      </c>
      <c r="G10" s="52" t="n">
        <f aca="false">IF($B10="","",Mayo!AI10)</f>
        <v>0</v>
      </c>
      <c r="H10" s="52" t="n">
        <f aca="false">IF($B10="","",Junio!AH10)</f>
        <v>0</v>
      </c>
      <c r="I10" s="52" t="n">
        <f aca="false">IF($B10="","",Julio!AI10)</f>
        <v>0</v>
      </c>
      <c r="J10" s="52" t="n">
        <f aca="false">IF($B10="","",Agosto!AI10)</f>
        <v>0</v>
      </c>
      <c r="K10" s="52" t="n">
        <f aca="false">IF($B10="","",Septiembre!AH10)</f>
        <v>0</v>
      </c>
      <c r="L10" s="52" t="n">
        <f aca="false">IF($B10="","",Octubre!AI10)</f>
        <v>0</v>
      </c>
      <c r="M10" s="52" t="n">
        <f aca="false">IF($B10="","",Noviembre!AH10)</f>
        <v>0</v>
      </c>
      <c r="N10" s="52" t="n">
        <f aca="false">IF($B10="","",Diciembre!AI10)</f>
        <v>0</v>
      </c>
      <c r="O10" s="53" t="n">
        <f aca="false">IF($B10="","",SUM($C10:$N10))</f>
        <v>0</v>
      </c>
      <c r="P10" s="54" t="n">
        <f aca="false">IF($B10="","",IFERROR($O10/SUMPRODUCT(('Mis Hábitos'!$F$10*365/7)),0))</f>
        <v>0</v>
      </c>
    </row>
    <row r="11" customFormat="false" ht="15" hidden="false" customHeight="false" outlineLevel="0" collapsed="false">
      <c r="B11" s="47" t="n">
        <f aca="false">'Mis Hábitos'!$B$11</f>
        <v>0</v>
      </c>
      <c r="C11" s="48" t="str">
        <f aca="false">IF($B11="","",Enero!AI11)</f>
        <v/>
      </c>
      <c r="D11" s="48" t="str">
        <f aca="false">IF($B11="","",Febrero!AF11)</f>
        <v/>
      </c>
      <c r="E11" s="48" t="str">
        <f aca="false">IF($B11="","",Marzo!AI11)</f>
        <v/>
      </c>
      <c r="F11" s="48" t="str">
        <f aca="false">IF($B11="","",Abril!AH11)</f>
        <v/>
      </c>
      <c r="G11" s="48" t="str">
        <f aca="false">IF($B11="","",Mayo!AI11)</f>
        <v/>
      </c>
      <c r="H11" s="48" t="str">
        <f aca="false">IF($B11="","",Junio!AH11)</f>
        <v/>
      </c>
      <c r="I11" s="48" t="str">
        <f aca="false">IF($B11="","",Julio!AI11)</f>
        <v/>
      </c>
      <c r="J11" s="48" t="str">
        <f aca="false">IF($B11="","",Agosto!AI11)</f>
        <v/>
      </c>
      <c r="K11" s="48" t="str">
        <f aca="false">IF($B11="","",Septiembre!AH11)</f>
        <v/>
      </c>
      <c r="L11" s="48" t="str">
        <f aca="false">IF($B11="","",Octubre!AI11)</f>
        <v/>
      </c>
      <c r="M11" s="48" t="str">
        <f aca="false">IF($B11="","",Noviembre!AH11)</f>
        <v/>
      </c>
      <c r="N11" s="48" t="str">
        <f aca="false">IF($B11="","",Diciembre!AI11)</f>
        <v/>
      </c>
      <c r="O11" s="49" t="str">
        <f aca="false">IF($B11="","",SUM($C11:$N11))</f>
        <v/>
      </c>
      <c r="P11" s="50" t="str">
        <f aca="false">IF($B11="","",IFERROR($O11/SUMPRODUCT(('Mis Hábitos'!$F$11*365/7)),0))</f>
        <v/>
      </c>
    </row>
    <row r="12" customFormat="false" ht="15" hidden="false" customHeight="false" outlineLevel="0" collapsed="false">
      <c r="B12" s="51" t="n">
        <f aca="false">'Mis Hábitos'!$B$12</f>
        <v>0</v>
      </c>
      <c r="C12" s="52" t="str">
        <f aca="false">IF($B12="","",Enero!AI12)</f>
        <v/>
      </c>
      <c r="D12" s="52" t="str">
        <f aca="false">IF($B12="","",Febrero!AF12)</f>
        <v/>
      </c>
      <c r="E12" s="52" t="str">
        <f aca="false">IF($B12="","",Marzo!AI12)</f>
        <v/>
      </c>
      <c r="F12" s="52" t="str">
        <f aca="false">IF($B12="","",Abril!AH12)</f>
        <v/>
      </c>
      <c r="G12" s="52" t="str">
        <f aca="false">IF($B12="","",Mayo!AI12)</f>
        <v/>
      </c>
      <c r="H12" s="52" t="str">
        <f aca="false">IF($B12="","",Junio!AH12)</f>
        <v/>
      </c>
      <c r="I12" s="52" t="str">
        <f aca="false">IF($B12="","",Julio!AI12)</f>
        <v/>
      </c>
      <c r="J12" s="52" t="str">
        <f aca="false">IF($B12="","",Agosto!AI12)</f>
        <v/>
      </c>
      <c r="K12" s="52" t="str">
        <f aca="false">IF($B12="","",Septiembre!AH12)</f>
        <v/>
      </c>
      <c r="L12" s="52" t="str">
        <f aca="false">IF($B12="","",Octubre!AI12)</f>
        <v/>
      </c>
      <c r="M12" s="52" t="str">
        <f aca="false">IF($B12="","",Noviembre!AH12)</f>
        <v/>
      </c>
      <c r="N12" s="52" t="str">
        <f aca="false">IF($B12="","",Diciembre!AI12)</f>
        <v/>
      </c>
      <c r="O12" s="53" t="str">
        <f aca="false">IF($B12="","",SUM($C12:$N12))</f>
        <v/>
      </c>
      <c r="P12" s="54" t="str">
        <f aca="false">IF($B12="","",IFERROR($O12/SUMPRODUCT(('Mis Hábitos'!$F$12*365/7)),0))</f>
        <v/>
      </c>
    </row>
    <row r="13" customFormat="false" ht="15" hidden="false" customHeight="false" outlineLevel="0" collapsed="false">
      <c r="B13" s="47" t="n">
        <f aca="false">'Mis Hábitos'!$B$13</f>
        <v>0</v>
      </c>
      <c r="C13" s="48" t="str">
        <f aca="false">IF($B13="","",Enero!AI13)</f>
        <v/>
      </c>
      <c r="D13" s="48" t="str">
        <f aca="false">IF($B13="","",Febrero!AF13)</f>
        <v/>
      </c>
      <c r="E13" s="48" t="str">
        <f aca="false">IF($B13="","",Marzo!AI13)</f>
        <v/>
      </c>
      <c r="F13" s="48" t="str">
        <f aca="false">IF($B13="","",Abril!AH13)</f>
        <v/>
      </c>
      <c r="G13" s="48" t="str">
        <f aca="false">IF($B13="","",Mayo!AI13)</f>
        <v/>
      </c>
      <c r="H13" s="48" t="str">
        <f aca="false">IF($B13="","",Junio!AH13)</f>
        <v/>
      </c>
      <c r="I13" s="48" t="str">
        <f aca="false">IF($B13="","",Julio!AI13)</f>
        <v/>
      </c>
      <c r="J13" s="48" t="str">
        <f aca="false">IF($B13="","",Agosto!AI13)</f>
        <v/>
      </c>
      <c r="K13" s="48" t="str">
        <f aca="false">IF($B13="","",Septiembre!AH13)</f>
        <v/>
      </c>
      <c r="L13" s="48" t="str">
        <f aca="false">IF($B13="","",Octubre!AI13)</f>
        <v/>
      </c>
      <c r="M13" s="48" t="str">
        <f aca="false">IF($B13="","",Noviembre!AH13)</f>
        <v/>
      </c>
      <c r="N13" s="48" t="str">
        <f aca="false">IF($B13="","",Diciembre!AI13)</f>
        <v/>
      </c>
      <c r="O13" s="49" t="str">
        <f aca="false">IF($B13="","",SUM($C13:$N13))</f>
        <v/>
      </c>
      <c r="P13" s="50" t="str">
        <f aca="false">IF($B13="","",IFERROR($O13/SUMPRODUCT(('Mis Hábitos'!$F$13*365/7)),0))</f>
        <v/>
      </c>
    </row>
    <row r="14" customFormat="false" ht="15" hidden="false" customHeight="false" outlineLevel="0" collapsed="false">
      <c r="B14" s="51" t="n">
        <f aca="false">'Mis Hábitos'!$B$14</f>
        <v>0</v>
      </c>
      <c r="C14" s="52" t="str">
        <f aca="false">IF($B14="","",Enero!AI14)</f>
        <v/>
      </c>
      <c r="D14" s="52" t="str">
        <f aca="false">IF($B14="","",Febrero!AF14)</f>
        <v/>
      </c>
      <c r="E14" s="52" t="str">
        <f aca="false">IF($B14="","",Marzo!AI14)</f>
        <v/>
      </c>
      <c r="F14" s="52" t="str">
        <f aca="false">IF($B14="","",Abril!AH14)</f>
        <v/>
      </c>
      <c r="G14" s="52" t="str">
        <f aca="false">IF($B14="","",Mayo!AI14)</f>
        <v/>
      </c>
      <c r="H14" s="52" t="str">
        <f aca="false">IF($B14="","",Junio!AH14)</f>
        <v/>
      </c>
      <c r="I14" s="52" t="str">
        <f aca="false">IF($B14="","",Julio!AI14)</f>
        <v/>
      </c>
      <c r="J14" s="52" t="str">
        <f aca="false">IF($B14="","",Agosto!AI14)</f>
        <v/>
      </c>
      <c r="K14" s="52" t="str">
        <f aca="false">IF($B14="","",Septiembre!AH14)</f>
        <v/>
      </c>
      <c r="L14" s="52" t="str">
        <f aca="false">IF($B14="","",Octubre!AI14)</f>
        <v/>
      </c>
      <c r="M14" s="52" t="str">
        <f aca="false">IF($B14="","",Noviembre!AH14)</f>
        <v/>
      </c>
      <c r="N14" s="52" t="str">
        <f aca="false">IF($B14="","",Diciembre!AI14)</f>
        <v/>
      </c>
      <c r="O14" s="53" t="str">
        <f aca="false">IF($B14="","",SUM($C14:$N14))</f>
        <v/>
      </c>
      <c r="P14" s="54" t="str">
        <f aca="false">IF($B14="","",IFERROR($O14/SUMPRODUCT(('Mis Hábitos'!$F$14*365/7)),0))</f>
        <v/>
      </c>
    </row>
    <row r="15" customFormat="false" ht="15" hidden="false" customHeight="false" outlineLevel="0" collapsed="false">
      <c r="B15" s="47" t="n">
        <f aca="false">'Mis Hábitos'!$B$15</f>
        <v>0</v>
      </c>
      <c r="C15" s="48" t="str">
        <f aca="false">IF($B15="","",Enero!AI15)</f>
        <v/>
      </c>
      <c r="D15" s="48" t="str">
        <f aca="false">IF($B15="","",Febrero!AF15)</f>
        <v/>
      </c>
      <c r="E15" s="48" t="str">
        <f aca="false">IF($B15="","",Marzo!AI15)</f>
        <v/>
      </c>
      <c r="F15" s="48" t="str">
        <f aca="false">IF($B15="","",Abril!AH15)</f>
        <v/>
      </c>
      <c r="G15" s="48" t="str">
        <f aca="false">IF($B15="","",Mayo!AI15)</f>
        <v/>
      </c>
      <c r="H15" s="48" t="str">
        <f aca="false">IF($B15="","",Junio!AH15)</f>
        <v/>
      </c>
      <c r="I15" s="48" t="str">
        <f aca="false">IF($B15="","",Julio!AI15)</f>
        <v/>
      </c>
      <c r="J15" s="48" t="str">
        <f aca="false">IF($B15="","",Agosto!AI15)</f>
        <v/>
      </c>
      <c r="K15" s="48" t="str">
        <f aca="false">IF($B15="","",Septiembre!AH15)</f>
        <v/>
      </c>
      <c r="L15" s="48" t="str">
        <f aca="false">IF($B15="","",Octubre!AI15)</f>
        <v/>
      </c>
      <c r="M15" s="48" t="str">
        <f aca="false">IF($B15="","",Noviembre!AH15)</f>
        <v/>
      </c>
      <c r="N15" s="48" t="str">
        <f aca="false">IF($B15="","",Diciembre!AI15)</f>
        <v/>
      </c>
      <c r="O15" s="49" t="str">
        <f aca="false">IF($B15="","",SUM($C15:$N15))</f>
        <v/>
      </c>
      <c r="P15" s="50" t="str">
        <f aca="false">IF($B15="","",IFERROR($O15/SUMPRODUCT(('Mis Hábitos'!$F$15*365/7)),0))</f>
        <v/>
      </c>
    </row>
    <row r="16" customFormat="false" ht="15" hidden="false" customHeight="false" outlineLevel="0" collapsed="false">
      <c r="B16" s="51" t="n">
        <f aca="false">'Mis Hábitos'!$B$16</f>
        <v>0</v>
      </c>
      <c r="C16" s="52" t="str">
        <f aca="false">IF($B16="","",Enero!AI16)</f>
        <v/>
      </c>
      <c r="D16" s="52" t="str">
        <f aca="false">IF($B16="","",Febrero!AF16)</f>
        <v/>
      </c>
      <c r="E16" s="52" t="str">
        <f aca="false">IF($B16="","",Marzo!AI16)</f>
        <v/>
      </c>
      <c r="F16" s="52" t="str">
        <f aca="false">IF($B16="","",Abril!AH16)</f>
        <v/>
      </c>
      <c r="G16" s="52" t="str">
        <f aca="false">IF($B16="","",Mayo!AI16)</f>
        <v/>
      </c>
      <c r="H16" s="52" t="str">
        <f aca="false">IF($B16="","",Junio!AH16)</f>
        <v/>
      </c>
      <c r="I16" s="52" t="str">
        <f aca="false">IF($B16="","",Julio!AI16)</f>
        <v/>
      </c>
      <c r="J16" s="52" t="str">
        <f aca="false">IF($B16="","",Agosto!AI16)</f>
        <v/>
      </c>
      <c r="K16" s="52" t="str">
        <f aca="false">IF($B16="","",Septiembre!AH16)</f>
        <v/>
      </c>
      <c r="L16" s="52" t="str">
        <f aca="false">IF($B16="","",Octubre!AI16)</f>
        <v/>
      </c>
      <c r="M16" s="52" t="str">
        <f aca="false">IF($B16="","",Noviembre!AH16)</f>
        <v/>
      </c>
      <c r="N16" s="52" t="str">
        <f aca="false">IF($B16="","",Diciembre!AI16)</f>
        <v/>
      </c>
      <c r="O16" s="53" t="str">
        <f aca="false">IF($B16="","",SUM($C16:$N16))</f>
        <v/>
      </c>
      <c r="P16" s="54" t="str">
        <f aca="false">IF($B16="","",IFERROR($O16/SUMPRODUCT(('Mis Hábitos'!$F$16*365/7)),0))</f>
        <v/>
      </c>
    </row>
    <row r="17" customFormat="false" ht="15" hidden="false" customHeight="false" outlineLevel="0" collapsed="false">
      <c r="B17" s="47" t="n">
        <f aca="false">'Mis Hábitos'!$B$17</f>
        <v>0</v>
      </c>
      <c r="C17" s="48" t="str">
        <f aca="false">IF($B17="","",Enero!AI17)</f>
        <v/>
      </c>
      <c r="D17" s="48" t="str">
        <f aca="false">IF($B17="","",Febrero!AF17)</f>
        <v/>
      </c>
      <c r="E17" s="48" t="str">
        <f aca="false">IF($B17="","",Marzo!AI17)</f>
        <v/>
      </c>
      <c r="F17" s="48" t="str">
        <f aca="false">IF($B17="","",Abril!AH17)</f>
        <v/>
      </c>
      <c r="G17" s="48" t="str">
        <f aca="false">IF($B17="","",Mayo!AI17)</f>
        <v/>
      </c>
      <c r="H17" s="48" t="str">
        <f aca="false">IF($B17="","",Junio!AH17)</f>
        <v/>
      </c>
      <c r="I17" s="48" t="str">
        <f aca="false">IF($B17="","",Julio!AI17)</f>
        <v/>
      </c>
      <c r="J17" s="48" t="str">
        <f aca="false">IF($B17="","",Agosto!AI17)</f>
        <v/>
      </c>
      <c r="K17" s="48" t="str">
        <f aca="false">IF($B17="","",Septiembre!AH17)</f>
        <v/>
      </c>
      <c r="L17" s="48" t="str">
        <f aca="false">IF($B17="","",Octubre!AI17)</f>
        <v/>
      </c>
      <c r="M17" s="48" t="str">
        <f aca="false">IF($B17="","",Noviembre!AH17)</f>
        <v/>
      </c>
      <c r="N17" s="48" t="str">
        <f aca="false">IF($B17="","",Diciembre!AI17)</f>
        <v/>
      </c>
      <c r="O17" s="49" t="str">
        <f aca="false">IF($B17="","",SUM($C17:$N17))</f>
        <v/>
      </c>
      <c r="P17" s="50" t="str">
        <f aca="false">IF($B17="","",IFERROR($O17/SUMPRODUCT(('Mis Hábitos'!$F$17*365/7)),0))</f>
        <v/>
      </c>
    </row>
    <row r="18" customFormat="false" ht="15" hidden="false" customHeight="false" outlineLevel="0" collapsed="false">
      <c r="B18" s="51" t="n">
        <f aca="false">'Mis Hábitos'!$B$18</f>
        <v>0</v>
      </c>
      <c r="C18" s="52" t="str">
        <f aca="false">IF($B18="","",Enero!AI18)</f>
        <v/>
      </c>
      <c r="D18" s="52" t="str">
        <f aca="false">IF($B18="","",Febrero!AF18)</f>
        <v/>
      </c>
      <c r="E18" s="52" t="str">
        <f aca="false">IF($B18="","",Marzo!AI18)</f>
        <v/>
      </c>
      <c r="F18" s="52" t="str">
        <f aca="false">IF($B18="","",Abril!AH18)</f>
        <v/>
      </c>
      <c r="G18" s="52" t="str">
        <f aca="false">IF($B18="","",Mayo!AI18)</f>
        <v/>
      </c>
      <c r="H18" s="52" t="str">
        <f aca="false">IF($B18="","",Junio!AH18)</f>
        <v/>
      </c>
      <c r="I18" s="52" t="str">
        <f aca="false">IF($B18="","",Julio!AI18)</f>
        <v/>
      </c>
      <c r="J18" s="52" t="str">
        <f aca="false">IF($B18="","",Agosto!AI18)</f>
        <v/>
      </c>
      <c r="K18" s="52" t="str">
        <f aca="false">IF($B18="","",Septiembre!AH18)</f>
        <v/>
      </c>
      <c r="L18" s="52" t="str">
        <f aca="false">IF($B18="","",Octubre!AI18)</f>
        <v/>
      </c>
      <c r="M18" s="52" t="str">
        <f aca="false">IF($B18="","",Noviembre!AH18)</f>
        <v/>
      </c>
      <c r="N18" s="52" t="str">
        <f aca="false">IF($B18="","",Diciembre!AI18)</f>
        <v/>
      </c>
      <c r="O18" s="53" t="str">
        <f aca="false">IF($B18="","",SUM($C18:$N18))</f>
        <v/>
      </c>
      <c r="P18" s="54" t="str">
        <f aca="false">IF($B18="","",IFERROR($O18/SUMPRODUCT(('Mis Hábitos'!$F$18*365/7)),0))</f>
        <v/>
      </c>
    </row>
    <row r="20" customFormat="false" ht="15" hidden="false" customHeight="false" outlineLevel="0" collapsed="false">
      <c r="B20" s="29" t="s">
        <v>122</v>
      </c>
    </row>
    <row r="22" customFormat="false" ht="19.5" hidden="false" customHeight="true" outlineLevel="0" collapsed="false">
      <c r="B22" s="6" t="s">
        <v>123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customFormat="false" ht="21.75" hidden="false" customHeight="true" outlineLevel="0" collapsed="false">
      <c r="B23" s="23" t="s">
        <v>124</v>
      </c>
      <c r="C23" s="23" t="s">
        <v>125</v>
      </c>
      <c r="D23" s="23" t="s">
        <v>126</v>
      </c>
      <c r="E23" s="23" t="s">
        <v>127</v>
      </c>
    </row>
    <row r="24" customFormat="false" ht="25.5" hidden="false" customHeight="true" outlineLevel="0" collapsed="false">
      <c r="B24" s="49" t="s">
        <v>128</v>
      </c>
      <c r="C24" s="55"/>
      <c r="D24" s="55"/>
      <c r="E24" s="55"/>
    </row>
    <row r="25" customFormat="false" ht="25.5" hidden="false" customHeight="true" outlineLevel="0" collapsed="false">
      <c r="B25" s="53" t="s">
        <v>129</v>
      </c>
      <c r="C25" s="55"/>
      <c r="D25" s="55"/>
      <c r="E25" s="55"/>
    </row>
    <row r="26" customFormat="false" ht="25.5" hidden="false" customHeight="true" outlineLevel="0" collapsed="false">
      <c r="B26" s="49" t="s">
        <v>130</v>
      </c>
      <c r="C26" s="55"/>
      <c r="D26" s="55"/>
      <c r="E26" s="55"/>
    </row>
    <row r="27" customFormat="false" ht="25.5" hidden="false" customHeight="true" outlineLevel="0" collapsed="false">
      <c r="B27" s="53" t="s">
        <v>131</v>
      </c>
      <c r="C27" s="55"/>
      <c r="D27" s="55"/>
      <c r="E27" s="55"/>
    </row>
    <row r="28" customFormat="false" ht="25.5" hidden="false" customHeight="true" outlineLevel="0" collapsed="false">
      <c r="B28" s="49" t="s">
        <v>132</v>
      </c>
      <c r="C28" s="55"/>
      <c r="D28" s="55"/>
      <c r="E28" s="55"/>
    </row>
    <row r="29" customFormat="false" ht="25.5" hidden="false" customHeight="true" outlineLevel="0" collapsed="false">
      <c r="B29" s="53" t="s">
        <v>133</v>
      </c>
      <c r="C29" s="55"/>
      <c r="D29" s="55"/>
      <c r="E29" s="55"/>
    </row>
    <row r="30" customFormat="false" ht="25.5" hidden="false" customHeight="true" outlineLevel="0" collapsed="false">
      <c r="B30" s="49" t="s">
        <v>35</v>
      </c>
      <c r="C30" s="55"/>
      <c r="D30" s="55"/>
      <c r="E30" s="55"/>
    </row>
    <row r="31" customFormat="false" ht="25.5" hidden="false" customHeight="true" outlineLevel="0" collapsed="false">
      <c r="B31" s="53" t="s">
        <v>134</v>
      </c>
      <c r="C31" s="55"/>
      <c r="D31" s="55"/>
      <c r="E31" s="55"/>
    </row>
    <row r="32" customFormat="false" ht="25.5" hidden="false" customHeight="true" outlineLevel="0" collapsed="false">
      <c r="B32" s="49" t="s">
        <v>135</v>
      </c>
      <c r="C32" s="55"/>
      <c r="D32" s="55"/>
      <c r="E32" s="55"/>
    </row>
    <row r="33" customFormat="false" ht="25.5" hidden="false" customHeight="true" outlineLevel="0" collapsed="false">
      <c r="B33" s="53" t="s">
        <v>136</v>
      </c>
      <c r="C33" s="55"/>
      <c r="D33" s="55"/>
      <c r="E33" s="55"/>
    </row>
    <row r="34" customFormat="false" ht="25.5" hidden="false" customHeight="true" outlineLevel="0" collapsed="false">
      <c r="B34" s="49" t="s">
        <v>137</v>
      </c>
      <c r="C34" s="55"/>
      <c r="D34" s="55"/>
      <c r="E34" s="55"/>
    </row>
    <row r="35" customFormat="false" ht="25.5" hidden="false" customHeight="true" outlineLevel="0" collapsed="false">
      <c r="B35" s="53" t="s">
        <v>138</v>
      </c>
      <c r="C35" s="55"/>
      <c r="D35" s="55"/>
      <c r="E35" s="55"/>
    </row>
    <row r="37" customFormat="false" ht="18" hidden="false" customHeight="true" outlineLevel="0" collapsed="false">
      <c r="B37" s="13" t="s">
        <v>3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</sheetData>
  <mergeCells count="5">
    <mergeCell ref="A1:P1"/>
    <mergeCell ref="A2:P2"/>
    <mergeCell ref="A3:P3"/>
    <mergeCell ref="B22:O22"/>
    <mergeCell ref="B37:P37"/>
  </mergeCells>
  <conditionalFormatting sqref="C7:N18">
    <cfRule type="colorScale" priority="2">
      <colorScale>
        <cfvo type="min" val="0"/>
        <cfvo type="percentile" val="50"/>
        <cfvo type="max" val="0"/>
        <color rgb="FFF3F1EC"/>
        <color rgb="FFFBEEDF"/>
        <color rgb="FF2F6B4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7C86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1"/>
  </cols>
  <sheetData>
    <row r="1" customFormat="false" ht="25.5" hidden="false" customHeight="true" outlineLevel="0" collapsed="false">
      <c r="A1" s="14" t="s">
        <v>139</v>
      </c>
      <c r="B1" s="14"/>
      <c r="C1" s="14"/>
      <c r="D1" s="14"/>
      <c r="E1" s="14"/>
      <c r="F1" s="14"/>
    </row>
    <row r="2" customFormat="false" ht="15" hidden="false" customHeight="true" outlineLevel="0" collapsed="false">
      <c r="A2" s="15" t="s">
        <v>140</v>
      </c>
      <c r="B2" s="15"/>
      <c r="C2" s="15"/>
      <c r="D2" s="15"/>
      <c r="E2" s="15"/>
      <c r="F2" s="15"/>
    </row>
    <row r="3" customFormat="false" ht="12.75" hidden="false" customHeight="true" outlineLevel="0" collapsed="false">
      <c r="A3" s="16" t="s">
        <v>3</v>
      </c>
      <c r="B3" s="16"/>
      <c r="C3" s="16"/>
      <c r="D3" s="16"/>
      <c r="E3" s="16"/>
      <c r="F3" s="16"/>
    </row>
    <row r="4" customFormat="false" ht="7.5" hidden="false" customHeight="true" outlineLevel="0" collapsed="false"/>
    <row r="5" customFormat="false" ht="15" hidden="false" customHeight="false" outlineLevel="0" collapsed="false">
      <c r="A5" s="29" t="s">
        <v>141</v>
      </c>
    </row>
    <row r="6" customFormat="false" ht="24" hidden="false" customHeight="true" outlineLevel="0" collapsed="false">
      <c r="A6" s="56" t="s">
        <v>50</v>
      </c>
      <c r="B6" s="56" t="s">
        <v>49</v>
      </c>
      <c r="C6" s="56" t="s">
        <v>51</v>
      </c>
      <c r="D6" s="56" t="s">
        <v>55</v>
      </c>
      <c r="E6" s="56" t="s">
        <v>142</v>
      </c>
    </row>
    <row r="7" customFormat="false" ht="15" hidden="false" customHeight="false" outlineLevel="0" collapsed="false">
      <c r="A7" s="30" t="s">
        <v>58</v>
      </c>
      <c r="B7" s="30" t="s">
        <v>64</v>
      </c>
      <c r="C7" s="30" t="s">
        <v>143</v>
      </c>
      <c r="D7" s="30" t="s">
        <v>62</v>
      </c>
      <c r="E7" s="30" t="s">
        <v>128</v>
      </c>
    </row>
    <row r="8" customFormat="false" ht="15" hidden="false" customHeight="false" outlineLevel="0" collapsed="false">
      <c r="A8" s="30" t="s">
        <v>144</v>
      </c>
      <c r="B8" s="30" t="s">
        <v>70</v>
      </c>
      <c r="C8" s="30" t="s">
        <v>66</v>
      </c>
      <c r="D8" s="30" t="s">
        <v>145</v>
      </c>
      <c r="E8" s="30" t="s">
        <v>129</v>
      </c>
    </row>
    <row r="9" customFormat="false" ht="15" hidden="false" customHeight="false" outlineLevel="0" collapsed="false">
      <c r="A9" s="30" t="s">
        <v>65</v>
      </c>
      <c r="B9" s="30" t="s">
        <v>57</v>
      </c>
      <c r="C9" s="30" t="s">
        <v>146</v>
      </c>
      <c r="D9" s="30" t="s">
        <v>147</v>
      </c>
      <c r="E9" s="30" t="s">
        <v>130</v>
      </c>
    </row>
    <row r="10" customFormat="false" ht="15" hidden="false" customHeight="false" outlineLevel="0" collapsed="false">
      <c r="A10" s="30" t="s">
        <v>77</v>
      </c>
      <c r="B10" s="30" t="s">
        <v>148</v>
      </c>
      <c r="C10" s="30" t="s">
        <v>72</v>
      </c>
      <c r="E10" s="30" t="s">
        <v>131</v>
      </c>
    </row>
    <row r="11" customFormat="false" ht="15" hidden="false" customHeight="false" outlineLevel="0" collapsed="false">
      <c r="A11" s="30" t="s">
        <v>149</v>
      </c>
      <c r="B11" s="30" t="s">
        <v>150</v>
      </c>
      <c r="C11" s="30" t="s">
        <v>59</v>
      </c>
      <c r="E11" s="30" t="s">
        <v>132</v>
      </c>
    </row>
    <row r="12" customFormat="false" ht="15" hidden="false" customHeight="false" outlineLevel="0" collapsed="false">
      <c r="A12" s="30" t="s">
        <v>71</v>
      </c>
      <c r="B12" s="30" t="s">
        <v>76</v>
      </c>
      <c r="C12" s="30" t="s">
        <v>151</v>
      </c>
      <c r="E12" s="30" t="s">
        <v>133</v>
      </c>
    </row>
    <row r="13" customFormat="false" ht="15" hidden="false" customHeight="false" outlineLevel="0" collapsed="false">
      <c r="B13" s="30" t="s">
        <v>152</v>
      </c>
      <c r="E13" s="30" t="s">
        <v>35</v>
      </c>
    </row>
    <row r="14" customFormat="false" ht="15" hidden="false" customHeight="false" outlineLevel="0" collapsed="false">
      <c r="B14" s="30" t="s">
        <v>153</v>
      </c>
      <c r="E14" s="30" t="s">
        <v>134</v>
      </c>
    </row>
    <row r="15" customFormat="false" ht="15" hidden="false" customHeight="false" outlineLevel="0" collapsed="false">
      <c r="E15" s="30" t="s">
        <v>135</v>
      </c>
    </row>
    <row r="16" customFormat="false" ht="15" hidden="false" customHeight="false" outlineLevel="0" collapsed="false">
      <c r="E16" s="30" t="s">
        <v>136</v>
      </c>
    </row>
    <row r="17" customFormat="false" ht="15" hidden="false" customHeight="false" outlineLevel="0" collapsed="false">
      <c r="E17" s="30" t="s">
        <v>137</v>
      </c>
    </row>
    <row r="18" customFormat="false" ht="15" hidden="false" customHeight="false" outlineLevel="0" collapsed="false">
      <c r="E18" s="30" t="s">
        <v>138</v>
      </c>
    </row>
    <row r="34" customFormat="false" ht="18" hidden="false" customHeight="true" outlineLevel="0" collapsed="false">
      <c r="A34" s="13" t="s">
        <v>3</v>
      </c>
      <c r="B34" s="13"/>
      <c r="C34" s="13"/>
      <c r="D34" s="13"/>
      <c r="E34" s="13"/>
    </row>
  </sheetData>
  <mergeCells count="4">
    <mergeCell ref="A1:F1"/>
    <mergeCell ref="A2:F2"/>
    <mergeCell ref="A3:F3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2026-07-31T22:59:59Z</dcterms:created>
  <dc:creator>openpyxl</dc:creator>
  <dc:description/>
  <dc:language>en-US</dc:language>
  <cp:lastModifiedBy/>
  <dcterms:modified xsi:type="dcterms:W3CDTF">2026-07-31T23:00:00Z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