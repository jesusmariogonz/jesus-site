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Tareas" sheetId="3" state="visible" r:id="rId5"/>
    <sheet name="Hoy" sheetId="4" state="visible" r:id="rId6"/>
    <sheet name="Semana" sheetId="5" state="visible" r:id="rId7"/>
    <sheet name="Proyectos" sheetId="6" state="visible" r:id="rId8"/>
    <sheet name="Listas" sheetId="7" state="visible" r:id="rId9"/>
  </sheets>
  <definedNames>
    <definedName function="false" hidden="true" localSheetId="2" name="_xlnm._FilterDatabase" vbProcedure="false">Tareas!$A$6:$N$206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Escribe la tarea empezando con un verbo: 'Enviar propuesta a…', no 'Propuesta'.
Si no empieza con verbo, normalmente es un proyecto disfrazado de tarea.</t>
        </r>
      </text>
    </comment>
    <comment ref="F6" authorId="0">
      <text>
        <r>
          <rPr>
            <sz val="10"/>
            <rFont val="Arial"/>
            <family val="2"/>
          </rPr>
          <t xml:space="preserve">Energía que requiere la tarea, no su importancia.
Sirve para elegir qué hacer según cómo llegues al día.</t>
        </r>
      </text>
    </comment>
  </commentList>
</comments>
</file>

<file path=xl/sharedStrings.xml><?xml version="1.0" encoding="utf-8"?>
<sst xmlns="http://schemas.openxmlformats.org/spreadsheetml/2006/main" count="203" uniqueCount="136">
  <si>
    <t xml:space="preserve">S I S T E M A   D E   P R O D U C T I V I D A D</t>
  </si>
  <si>
    <t xml:space="preserve">Task Tracker</t>
  </si>
  <si>
    <t xml:space="preserve">Captura una vez, revisa desde cuatro vistas distintas</t>
  </si>
  <si>
    <t xml:space="preserve">Jesús González   ·   https://jesus-site-silk.vercel.app/</t>
  </si>
  <si>
    <t xml:space="preserve">CÓMO ESTÁ ORGANIZADO</t>
  </si>
  <si>
    <t xml:space="preserve">Resumen</t>
  </si>
  <si>
    <t xml:space="preserve">Indicadores calculados. Ábrelo los lunes.</t>
  </si>
  <si>
    <t xml:space="preserve">Tareas</t>
  </si>
  <si>
    <t xml:space="preserve">La única hoja donde capturas. Todo lo demás lee de aquí.</t>
  </si>
  <si>
    <t xml:space="preserve">Hoy</t>
  </si>
  <si>
    <t xml:space="preserve">Tus tres tareas del día y todo lo vencido, automático.</t>
  </si>
  <si>
    <t xml:space="preserve">Semana</t>
  </si>
  <si>
    <t xml:space="preserve">Cuadrícula de siete días con las tareas por fecha límite.</t>
  </si>
  <si>
    <t xml:space="preserve">Proyectos</t>
  </si>
  <si>
    <t xml:space="preserve">Avance por proyecto y la siguiente acción de cada uno.</t>
  </si>
  <si>
    <t xml:space="preserve">Listas</t>
  </si>
  <si>
    <t xml:space="preserve">Los catálogos de los desplegables. Edítalos primero.</t>
  </si>
  <si>
    <t xml:space="preserve">LAS CUATRO REGLAS DEL SISTEMA</t>
  </si>
  <si>
    <t xml:space="preserve">1 · Toda tarea empieza con un verbo</t>
  </si>
  <si>
    <t xml:space="preserve">«Enviar propuesta a Martínez», no «Propuesta». Si no puedes empezar con un verbo, no es una tarea: es un proyecto y va en la hoja Proyectos.</t>
  </si>
  <si>
    <t xml:space="preserve">2 · Todo proyecto tiene una siguiente acción</t>
  </si>
  <si>
    <t xml:space="preserve">Un proyecto sin siguiente acción está detenido aunque parezca activo. La hoja Proyectos te lo marca en rojo automáticamente.</t>
  </si>
  <si>
    <t xml:space="preserve">3 · Solo tres tareas grandes al día</t>
  </si>
  <si>
    <t xml:space="preserve">La hoja Hoy te deja escribir tres. No es una limitación técnica: es el punto. Una lista de veinte pendientes para hoy es una lista que no se va a cumplir.</t>
  </si>
  <si>
    <t xml:space="preserve">4 · Revisión semanal, quince minutos</t>
  </si>
  <si>
    <t xml:space="preserve">Una vez por semana: cierra lo hecho, reagenda lo vencido y define la siguiente acción de cada proyecto. Sin esta revisión, cualquier sistema se degrada en un mes.</t>
  </si>
  <si>
    <t xml:space="preserve">CONVENCIONES</t>
  </si>
  <si>
    <t xml:space="preserve">Celdas crema con texto azul</t>
  </si>
  <si>
    <t xml:space="preserve">Las únicas que debes editar.</t>
  </si>
  <si>
    <t xml:space="preserve">Celdas con texto negro</t>
  </si>
  <si>
    <t xml:space="preserve">Contienen fórmulas. Si las sobrescribes, se rompe el Resumen.</t>
  </si>
  <si>
    <t xml:space="preserve">Fila de ejemplo</t>
  </si>
  <si>
    <t xml:space="preserve">Hay ejemplos de muestra. Bórralos cuando empieces con lo tuyo.</t>
  </si>
  <si>
    <t xml:space="preserve">RESUMEN</t>
  </si>
  <si>
    <t xml:space="preserve">Todo se calcula automáticamente. No captures nada aquí.</t>
  </si>
  <si>
    <t xml:space="preserve">ESTADO GENERAL</t>
  </si>
  <si>
    <t xml:space="preserve">TAREAS ABIERTAS</t>
  </si>
  <si>
    <t xml:space="preserve">VENCIDAS</t>
  </si>
  <si>
    <t xml:space="preserve">PARA HOY</t>
  </si>
  <si>
    <t xml:space="preserve">ESTA SEMANA</t>
  </si>
  <si>
    <t xml:space="preserve">P1 ABIERTAS</t>
  </si>
  <si>
    <t xml:space="preserve">EN ESPERA</t>
  </si>
  <si>
    <t xml:space="preserve">HECHAS EN TOTAL</t>
  </si>
  <si>
    <t xml:space="preserve">HECHAS ESTA SEMANA</t>
  </si>
  <si>
    <t xml:space="preserve">% COMPLETADO</t>
  </si>
  <si>
    <t xml:space="preserve">POR PRIORIDAD</t>
  </si>
  <si>
    <t xml:space="preserve">POR ESTADO</t>
  </si>
  <si>
    <t xml:space="preserve">POR CONTEXTO</t>
  </si>
  <si>
    <t xml:space="preserve">Prioridad</t>
  </si>
  <si>
    <t xml:space="preserve">Abiertas</t>
  </si>
  <si>
    <t xml:space="preserve">Estado</t>
  </si>
  <si>
    <t xml:space="preserve">Contexto</t>
  </si>
  <si>
    <t xml:space="preserve">P1 · Urgente</t>
  </si>
  <si>
    <t xml:space="preserve">Por hacer</t>
  </si>
  <si>
    <t xml:space="preserve">Oficina</t>
  </si>
  <si>
    <t xml:space="preserve">P2 · Importante</t>
  </si>
  <si>
    <t xml:space="preserve">En curso</t>
  </si>
  <si>
    <t xml:space="preserve">Casa</t>
  </si>
  <si>
    <t xml:space="preserve">P3 · Normal</t>
  </si>
  <si>
    <t xml:space="preserve">En espera</t>
  </si>
  <si>
    <t xml:space="preserve">Computadora</t>
  </si>
  <si>
    <t xml:space="preserve">P4 · Algún día</t>
  </si>
  <si>
    <t xml:space="preserve">Hecha</t>
  </si>
  <si>
    <t xml:space="preserve">Teléfono</t>
  </si>
  <si>
    <t xml:space="preserve">Cancelada</t>
  </si>
  <si>
    <t xml:space="preserve">Recados</t>
  </si>
  <si>
    <t xml:space="preserve">Reunión</t>
  </si>
  <si>
    <t xml:space="preserve">Jesús González   ·   https://jesus-site-silk.vercel.app/   ·   Presiona F9 si algún número no se actualiza.</t>
  </si>
  <si>
    <t xml:space="preserve">TODAS LAS TAREAS</t>
  </si>
  <si>
    <t xml:space="preserve">La única hoja donde capturas. Las demás leen de aquí.</t>
  </si>
  <si>
    <t xml:space="preserve">ID</t>
  </si>
  <si>
    <t xml:space="preserve">Tarea</t>
  </si>
  <si>
    <t xml:space="preserve">Proyecto</t>
  </si>
  <si>
    <t xml:space="preserve">Energía</t>
  </si>
  <si>
    <t xml:space="preserve">Responsable</t>
  </si>
  <si>
    <t xml:space="preserve">Fecha límite</t>
  </si>
  <si>
    <t xml:space="preserve">Días restantes</t>
  </si>
  <si>
    <t xml:space="preserve">Semáforo</t>
  </si>
  <si>
    <t xml:space="preserve">Repetición</t>
  </si>
  <si>
    <t xml:space="preserve">Notas</t>
  </si>
  <si>
    <t xml:space="preserve">Fecha de cierre</t>
  </si>
  <si>
    <t xml:space="preserve">_ordenHoy</t>
  </si>
  <si>
    <t xml:space="preserve">_claveDia</t>
  </si>
  <si>
    <t xml:space="preserve">Redactar propuesta comercial para cliente nuevo</t>
  </si>
  <si>
    <t xml:space="preserve">Proyecto A</t>
  </si>
  <si>
    <t xml:space="preserve">Alta</t>
  </si>
  <si>
    <t xml:space="preserve">Jesús González</t>
  </si>
  <si>
    <t xml:space="preserve">No se repite</t>
  </si>
  <si>
    <t xml:space="preserve">Falta el desglose de costos</t>
  </si>
  <si>
    <t xml:space="preserve">Revisar reporte semanal del equipo</t>
  </si>
  <si>
    <t xml:space="preserve">Administrativo</t>
  </si>
  <si>
    <t xml:space="preserve">Baja</t>
  </si>
  <si>
    <t xml:space="preserve">Semanal</t>
  </si>
  <si>
    <t xml:space="preserve">Llamar al proveedor por la cotización pendiente</t>
  </si>
  <si>
    <t xml:space="preserve">Proyecto B</t>
  </si>
  <si>
    <t xml:space="preserve">Media</t>
  </si>
  <si>
    <t xml:space="preserve">Tercer intento</t>
  </si>
  <si>
    <t xml:space="preserve">ENFOQUE DE HOY</t>
  </si>
  <si>
    <t xml:space="preserve">Se llena solo desde la hoja Tareas. Lo único que capturas son las tres grandes.</t>
  </si>
  <si>
    <t xml:space="preserve">LAS TRES TAREAS QUE HARÍAN DEL DÍA UN BUEN DÍA</t>
  </si>
  <si>
    <t xml:space="preserve">✓ ?</t>
  </si>
  <si>
    <t xml:space="preserve">Si al final del día hiciste estas tres, el día valió. Todo lo demás es extra.</t>
  </si>
  <si>
    <t xml:space="preserve">VENCIDAS Y DE HOY (AUTOMÁTICO)</t>
  </si>
  <si>
    <t xml:space="preserve">Esta lista se recalcula sola desde la hoja Tareas. No escribas aquí.</t>
  </si>
  <si>
    <t xml:space="preserve">VISTA DE LA SEMANA</t>
  </si>
  <si>
    <t xml:space="preserve">Cambia la fecha de inicio y la cuadrícula se reacomoda sola.</t>
  </si>
  <si>
    <t xml:space="preserve">Lunes de la semana: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</si>
  <si>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</si>
  <si>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</si>
  <si>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</si>
  <si>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</si>
  <si>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</si>
  <si>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</si>
  <si>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</si>
  <si>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Cada columna lista las tareas cuya fecha límite cae ese día. La columna sombreada es hoy.</t>
  </si>
  <si>
    <t xml:space="preserve">PROYECTOS</t>
  </si>
  <si>
    <t xml:space="preserve">Un proyecto es cualquier cosa que necesita más de una tarea. El avance se calcula solo.</t>
  </si>
  <si>
    <t xml:space="preserve">#</t>
  </si>
  <si>
    <t xml:space="preserve">Resultado esperado</t>
  </si>
  <si>
    <t xml:space="preserve">Siguiente acción</t>
  </si>
  <si>
    <t xml:space="preserve">Fecha objetivo</t>
  </si>
  <si>
    <t xml:space="preserve">Hechas</t>
  </si>
  <si>
    <t xml:space="preserve">Avance</t>
  </si>
  <si>
    <t xml:space="preserve">Propuesta entregada y aceptada por el cliente</t>
  </si>
  <si>
    <t xml:space="preserve">Un proyecto sin siguiente acción definida está detenido, aunque no lo parezca. Esa columna en rojo es la señal más útil de toda la plantilla.</t>
  </si>
  <si>
    <t xml:space="preserve">LISTAS Y CATÁLOGOS</t>
  </si>
  <si>
    <t xml:space="preserve">Edita estos catálogos primero: alimentan los desplegables de todo el archivo.</t>
  </si>
  <si>
    <t xml:space="preserve">Agrega valores debajo de cada catálogo (hasta la fila 30) y aparecerán en los desplegables.</t>
  </si>
  <si>
    <t xml:space="preserve">Persona</t>
  </si>
  <si>
    <t xml:space="preserve">Sin proyecto</t>
  </si>
  <si>
    <t xml:space="preserve">Delegada a…</t>
  </si>
  <si>
    <t xml:space="preserve">Diaria</t>
  </si>
  <si>
    <t xml:space="preserve">Equipo</t>
  </si>
  <si>
    <t xml:space="preserve">Personal</t>
  </si>
  <si>
    <t xml:space="preserve">Quincenal</t>
  </si>
  <si>
    <t xml:space="preserve">Mensual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</si>
</sst>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General"/>
    <numFmt numFmtId="168" formatCode="dd/mm/yyyy"/>
    <numFmt numFmtId="169" formatCode="dd/mm"/>
    <numFmt numFmtId="170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8C9AA4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i val="true"/>
      <sz val="11"/>
      <color rgb="FFC6CFD5"/>
      <name val="Arial"/>
      <family val="0"/>
      <charset val="1"/>
    </font>
    <font>
      <b val="true"/>
      <sz val="9"/>
      <color rgb="FFB0611C"/>
      <name val="Arial"/>
      <family val="0"/>
      <charset val="1"/>
    </font>
    <font>
      <b val="true"/>
      <sz val="9.5"/>
      <color rgb="FFB0611C"/>
      <name val="Arial"/>
      <family val="0"/>
      <charset val="1"/>
    </font>
    <font>
      <sz val="9"/>
      <color rgb="FF1B2A36"/>
      <name val="Arial"/>
      <family val="0"/>
      <charset val="1"/>
    </font>
    <font>
      <b val="true"/>
      <sz val="9"/>
      <color rgb="FF1B2A3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b val="true"/>
      <sz val="20"/>
      <color rgb="FF1B2A3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CC"/>
      <name val="Arial"/>
      <family val="0"/>
      <charset val="1"/>
    </font>
    <font>
      <sz val="8"/>
      <color rgb="FF6E7C86"/>
      <name val="Arial"/>
      <family val="0"/>
      <charset val="1"/>
    </font>
    <font>
      <sz val="10"/>
      <name val="Arial"/>
      <family val="2"/>
    </font>
    <font>
      <sz val="10"/>
      <color rgb="FF0000CC"/>
      <name val="Arial"/>
      <family val="0"/>
      <charset val="1"/>
    </font>
    <font>
      <b val="true"/>
      <sz val="9"/>
      <color rgb="FF6E7C86"/>
      <name val="Arial"/>
      <family val="0"/>
      <charset val="1"/>
    </font>
    <font>
      <i val="true"/>
      <sz val="8.5"/>
      <color rgb="FF6E7C86"/>
      <name val="Arial"/>
      <family val="0"/>
      <charset val="1"/>
    </font>
    <font>
      <i val="true"/>
      <sz val="8"/>
      <color rgb="FF6E7C86"/>
      <name val="Arial"/>
      <family val="0"/>
      <charset val="1"/>
    </font>
    <font>
      <b val="true"/>
      <sz val="9"/>
      <color rgb="FF0000CC"/>
      <name val="Arial"/>
      <family val="0"/>
      <charset val="1"/>
    </font>
    <font>
      <b val="true"/>
      <sz val="8"/>
      <color rgb="FFB0611C"/>
      <name val="Arial"/>
      <family val="0"/>
      <charset val="1"/>
    </font>
    <font>
      <sz val="8.5"/>
      <color rgb="FF1B2A3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36"/>
        <bgColor rgb="FF2E4150"/>
      </patternFill>
    </fill>
    <fill>
      <patternFill patternType="solid">
        <fgColor rgb="FFF0E2D3"/>
        <bgColor rgb="FFE7E3DA"/>
      </patternFill>
    </fill>
    <fill>
      <patternFill patternType="solid">
        <fgColor rgb="FFB0611C"/>
        <bgColor rgb="FF9B3B34"/>
      </patternFill>
    </fill>
    <fill>
      <patternFill patternType="solid">
        <fgColor rgb="FF2E4150"/>
        <bgColor rgb="FF1B2A36"/>
      </patternFill>
    </fill>
    <fill>
      <patternFill patternType="solid">
        <fgColor rgb="FF9B3B34"/>
        <bgColor rgb="FF993366"/>
      </patternFill>
    </fill>
    <fill>
      <patternFill patternType="solid">
        <fgColor rgb="FFF3F1EC"/>
        <bgColor rgb="FFFBEEDF"/>
      </patternFill>
    </fill>
    <fill>
      <patternFill patternType="solid">
        <fgColor rgb="FF6E7C86"/>
        <bgColor rgb="FF4E7A96"/>
      </patternFill>
    </fill>
    <fill>
      <patternFill patternType="solid">
        <fgColor rgb="FF2F6B4F"/>
        <bgColor rgb="FF4E7A96"/>
      </patternFill>
    </fill>
    <fill>
      <patternFill patternType="solid">
        <fgColor rgb="FFFFF9E3"/>
        <bgColor rgb="FFFBEED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C3B8"/>
      </left>
      <right style="thin">
        <color rgb="FFC9C3B8"/>
      </right>
      <top style="thin">
        <color rgb="FFC9C3B8"/>
      </top>
      <bottom style="thin">
        <color rgb="FFC9C3B8"/>
      </bottom>
      <diagonal/>
    </border>
    <border diagonalUp="false" diagonalDown="false">
      <left style="thin">
        <color rgb="FFC9C3B8"/>
      </left>
      <right style="thin">
        <color rgb="FFC9C3B8"/>
      </right>
      <top/>
      <bottom style="thin">
        <color rgb="FFC9C3B8"/>
      </bottom>
      <diagonal/>
    </border>
    <border diagonalUp="false" diagonalDown="false">
      <left style="thin">
        <color rgb="FFC9C3B8"/>
      </left>
      <right style="thin">
        <color rgb="FFC9C3B8"/>
      </right>
      <top style="medium">
        <color rgb="FF1B2A36"/>
      </top>
      <bottom style="medium">
        <color rgb="FF1B2A36"/>
      </bottom>
      <diagonal/>
    </border>
    <border diagonalUp="false" diagonalDown="false">
      <left style="hair">
        <color rgb="FFC9C3B8"/>
      </left>
      <right style="hair">
        <color rgb="FFC9C3B8"/>
      </right>
      <top style="hair">
        <color rgb="FFC9C3B8"/>
      </top>
      <bottom style="hair">
        <color rgb="FFC9C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E4150"/>
          <bgColor rgb="FF000000"/>
        </patternFill>
      </fill>
    </dxf>
    <dxf>
      <fill>
        <patternFill patternType="solid">
          <fgColor rgb="FFF3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A3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0000CC"/>
          <bgColor rgb="FF000000"/>
        </patternFill>
      </fill>
    </dxf>
    <dxf>
      <fill>
        <patternFill patternType="solid">
          <fgColor rgb="FF9B3B34"/>
          <bgColor rgb="FF000000"/>
        </patternFill>
      </fill>
    </dxf>
    <dxf>
      <fill>
        <patternFill patternType="solid">
          <fgColor rgb="FFE4EDF2"/>
          <bgColor rgb="FF000000"/>
        </patternFill>
      </fill>
    </dxf>
    <dxf>
      <fill>
        <patternFill patternType="solid">
          <fgColor rgb="FFF7E4E2"/>
          <bgColor rgb="FF000000"/>
        </patternFill>
      </fill>
    </dxf>
    <dxf>
      <fill>
        <patternFill patternType="solid">
          <fgColor rgb="FF4E7A96"/>
          <bgColor rgb="FF000000"/>
        </patternFill>
      </fill>
    </dxf>
    <dxf>
      <font>
        <name val="Arial"/>
        <charset val="1"/>
        <family val="0"/>
        <b val="1"/>
        <color rgb="FF9B3B34"/>
        <sz val="9"/>
      </font>
      <fill>
        <patternFill>
          <bgColor rgb="FFF7E4E2"/>
        </patternFill>
      </fill>
    </dxf>
    <dxf>
      <font>
        <name val="Arial"/>
        <charset val="1"/>
        <family val="0"/>
        <b val="1"/>
        <color rgb="FFB0611C"/>
        <sz val="9"/>
      </font>
      <fill>
        <patternFill>
          <bgColor rgb="FFFBEEDF"/>
        </patternFill>
      </fill>
    </dxf>
    <dxf>
      <font>
        <name val="Arial"/>
        <charset val="1"/>
        <family val="0"/>
        <b val="1"/>
        <color rgb="FF4E7A96"/>
        <sz val="9"/>
      </font>
      <fill>
        <patternFill>
          <bgColor rgb="FFE4EDF2"/>
        </patternFill>
      </fill>
    </dxf>
    <dxf>
      <font>
        <name val="Arial"/>
        <charset val="1"/>
        <family val="0"/>
        <b val="1"/>
        <color rgb="FF6E7C86"/>
        <sz val="9"/>
      </font>
      <fill>
        <patternFill>
          <bgColor rgb="FFF3F1EC"/>
        </patternFill>
      </fill>
    </dxf>
    <dxf>
      <font>
        <name val="Arial"/>
        <charset val="1"/>
        <family val="0"/>
        <b val="1"/>
        <color rgb="FF2F6B4F"/>
        <sz val="9"/>
      </font>
      <fill>
        <patternFill>
          <bgColor rgb="FFE3F0E7"/>
        </patternFill>
      </fill>
    </dxf>
    <dxf>
      <font>
        <name val="Arial"/>
        <charset val="1"/>
        <family val="0"/>
        <b val="1"/>
        <color rgb="FF6E7C86"/>
        <sz val="9"/>
      </font>
      <fill>
        <patternFill>
          <bgColor rgb="FFE7E3DA"/>
        </patternFill>
      </fill>
    </dxf>
    <dxf>
      <font>
        <name val="Arial"/>
        <charset val="1"/>
        <family val="0"/>
        <strike val="1"/>
        <color rgb="FF6E7C86"/>
        <sz val="9"/>
      </font>
    </dxf>
    <dxf>
      <font>
        <name val="Arial"/>
        <charset val="1"/>
        <family val="0"/>
        <b val="1"/>
        <color rgb="FF9B3B34"/>
        <sz val="9"/>
      </font>
    </dxf>
    <dxf>
      <fill>
        <patternFill>
          <bgColor rgb="FFFBEEDF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B0611C"/>
      <rgbColor rgb="FF800080"/>
      <rgbColor rgb="FF2F6B4F"/>
      <rgbColor rgb="FFC9C3B8"/>
      <rgbColor rgb="FF6E7C86"/>
      <rgbColor rgb="FF9999FF"/>
      <rgbColor rgb="FF9B3B34"/>
      <rgbColor rgb="FFFFF9E3"/>
      <rgbColor rgb="FFE3F0E7"/>
      <rgbColor rgb="FF660066"/>
      <rgbColor rgb="FFFF8080"/>
      <rgbColor rgb="FF0066CC"/>
      <rgbColor rgb="FFC6C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DF2"/>
      <rgbColor rgb="FFF3F1EC"/>
      <rgbColor rgb="FFFBEEDF"/>
      <rgbColor rgb="FFE7E3DA"/>
      <rgbColor rgb="FFF7E4E2"/>
      <rgbColor rgb="FFCC99FF"/>
      <rgbColor rgb="FFF0E2D3"/>
      <rgbColor rgb="FF3366FF"/>
      <rgbColor rgb="FF33CCCC"/>
      <rgbColor rgb="FF99CC00"/>
      <rgbColor rgb="FFFFCC00"/>
      <rgbColor rgb="FFFF9900"/>
      <rgbColor rgb="FFFF6600"/>
      <rgbColor rgb="FF4E7A96"/>
      <rgbColor rgb="FF8C9AA4"/>
      <rgbColor rgb="FF1B2A36"/>
      <rgbColor rgb="FF339966"/>
      <rgbColor rgb="FF003300"/>
      <rgbColor rgb="FF333300"/>
      <rgbColor rgb="FF993300"/>
      <rgbColor rgb="FF993366"/>
      <rgbColor rgb="FF333399"/>
      <rgbColor rgb="FF2E41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5</xdr:col>
      <xdr:colOff>1123560</xdr:colOff>
      <xdr:row>6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400880" y="371520"/>
          <a:ext cx="1123560" cy="112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611C"/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9.5" hidden="false" customHeight="true" outlineLevel="0" collapsed="false">
      <c r="A4" s="1"/>
      <c r="B4" s="2" t="s">
        <v>0</v>
      </c>
      <c r="C4" s="2"/>
      <c r="D4" s="2"/>
      <c r="E4" s="2"/>
      <c r="F4" s="1"/>
      <c r="G4" s="1"/>
      <c r="H4" s="1"/>
    </row>
    <row r="5" customFormat="false" ht="19.5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9.5" hidden="false" customHeight="true" outlineLevel="0" collapsed="false">
      <c r="A6" s="1"/>
      <c r="B6" s="3" t="s">
        <v>1</v>
      </c>
      <c r="C6" s="3"/>
      <c r="D6" s="3"/>
      <c r="E6" s="3"/>
      <c r="F6" s="1"/>
      <c r="G6" s="1"/>
      <c r="H6" s="1"/>
    </row>
    <row r="7" customFormat="false" ht="19.5" hidden="false" customHeight="true" outlineLevel="0" collapsed="false">
      <c r="A7" s="1"/>
      <c r="B7" s="3"/>
      <c r="C7" s="3"/>
      <c r="D7" s="3"/>
      <c r="E7" s="3"/>
      <c r="F7" s="1"/>
      <c r="G7" s="1"/>
      <c r="H7" s="1"/>
    </row>
    <row r="8" customFormat="false" ht="19.5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9.5" hidden="false" customHeight="true" outlineLevel="0" collapsed="false">
      <c r="A9" s="1"/>
      <c r="B9" s="4" t="s">
        <v>2</v>
      </c>
      <c r="C9" s="4"/>
      <c r="D9" s="4"/>
      <c r="E9" s="4"/>
      <c r="F9" s="1"/>
      <c r="G9" s="1"/>
      <c r="H9" s="1"/>
    </row>
    <row r="10" customFormat="false" ht="19.5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9.5" hidden="false" customHeight="true" outlineLevel="0" collapsed="false">
      <c r="A11" s="1"/>
      <c r="B11" s="5" t="s">
        <v>3</v>
      </c>
      <c r="C11" s="5"/>
      <c r="D11" s="5"/>
      <c r="E11" s="5"/>
      <c r="F11" s="1"/>
      <c r="G11" s="1"/>
      <c r="H11" s="1"/>
    </row>
    <row r="12" customFormat="false" ht="19.5" hidden="false" customHeight="true" outlineLevel="0" collapsed="false">
      <c r="A12" s="1"/>
      <c r="B12" s="1"/>
      <c r="C12" s="1"/>
      <c r="D12" s="1"/>
      <c r="E12" s="1"/>
      <c r="F12" s="1"/>
      <c r="G12" s="1"/>
      <c r="H12" s="1"/>
    </row>
    <row r="15" customFormat="false" ht="19.5" hidden="false" customHeight="true" outlineLevel="0" collapsed="false">
      <c r="B15" s="6" t="s">
        <v>4</v>
      </c>
      <c r="C15" s="6"/>
      <c r="D15" s="6"/>
      <c r="E15" s="6"/>
    </row>
    <row r="16" customFormat="false" ht="16.5" hidden="false" customHeight="true" outlineLevel="0" collapsed="false">
      <c r="B16" s="7" t="s">
        <v>5</v>
      </c>
      <c r="C16" s="8" t="s">
        <v>6</v>
      </c>
      <c r="D16" s="8"/>
      <c r="E16" s="8"/>
    </row>
    <row r="17" customFormat="false" ht="16.5" hidden="false" customHeight="true" outlineLevel="0" collapsed="false">
      <c r="B17" s="7" t="s">
        <v>7</v>
      </c>
      <c r="C17" s="8" t="s">
        <v>8</v>
      </c>
      <c r="D17" s="8"/>
      <c r="E17" s="8"/>
    </row>
    <row r="18" customFormat="false" ht="16.5" hidden="false" customHeight="true" outlineLevel="0" collapsed="false">
      <c r="B18" s="7" t="s">
        <v>9</v>
      </c>
      <c r="C18" s="8" t="s">
        <v>10</v>
      </c>
      <c r="D18" s="8"/>
      <c r="E18" s="8"/>
    </row>
    <row r="19" customFormat="false" ht="16.5" hidden="false" customHeight="true" outlineLevel="0" collapsed="false">
      <c r="B19" s="7" t="s">
        <v>11</v>
      </c>
      <c r="C19" s="8" t="s">
        <v>12</v>
      </c>
      <c r="D19" s="8"/>
      <c r="E19" s="8"/>
    </row>
    <row r="20" customFormat="false" ht="16.5" hidden="false" customHeight="true" outlineLevel="0" collapsed="false">
      <c r="B20" s="7" t="s">
        <v>13</v>
      </c>
      <c r="C20" s="8" t="s">
        <v>14</v>
      </c>
      <c r="D20" s="8"/>
      <c r="E20" s="8"/>
    </row>
    <row r="21" customFormat="false" ht="16.5" hidden="false" customHeight="true" outlineLevel="0" collapsed="false">
      <c r="B21" s="7" t="s">
        <v>15</v>
      </c>
      <c r="C21" s="8" t="s">
        <v>16</v>
      </c>
      <c r="D21" s="8"/>
      <c r="E21" s="8"/>
    </row>
    <row r="23" customFormat="false" ht="19.5" hidden="false" customHeight="true" outlineLevel="0" collapsed="false">
      <c r="B23" s="6" t="s">
        <v>17</v>
      </c>
      <c r="C23" s="6"/>
      <c r="D23" s="6"/>
      <c r="E23" s="6"/>
    </row>
    <row r="24" customFormat="false" ht="33.75" hidden="false" customHeight="true" outlineLevel="0" collapsed="false">
      <c r="B24" s="9" t="s">
        <v>18</v>
      </c>
      <c r="C24" s="10" t="s">
        <v>19</v>
      </c>
      <c r="D24" s="10"/>
      <c r="E24" s="10"/>
    </row>
    <row r="25" customFormat="false" ht="33.75" hidden="false" customHeight="true" outlineLevel="0" collapsed="false">
      <c r="B25" s="9" t="s">
        <v>20</v>
      </c>
      <c r="C25" s="10" t="s">
        <v>21</v>
      </c>
      <c r="D25" s="10"/>
      <c r="E25" s="10"/>
    </row>
    <row r="26" customFormat="false" ht="33.75" hidden="false" customHeight="true" outlineLevel="0" collapsed="false">
      <c r="B26" s="9" t="s">
        <v>22</v>
      </c>
      <c r="C26" s="10" t="s">
        <v>23</v>
      </c>
      <c r="D26" s="10"/>
      <c r="E26" s="10"/>
    </row>
    <row r="27" customFormat="false" ht="33.75" hidden="false" customHeight="true" outlineLevel="0" collapsed="false">
      <c r="B27" s="9" t="s">
        <v>24</v>
      </c>
      <c r="C27" s="10" t="s">
        <v>25</v>
      </c>
      <c r="D27" s="10"/>
      <c r="E27" s="10"/>
    </row>
    <row r="29" customFormat="false" ht="19.5" hidden="false" customHeight="true" outlineLevel="0" collapsed="false">
      <c r="B29" s="6" t="s">
        <v>26</v>
      </c>
      <c r="C29" s="6"/>
      <c r="D29" s="6"/>
      <c r="E29" s="6"/>
    </row>
    <row r="30" customFormat="false" ht="18" hidden="false" customHeight="true" outlineLevel="0" collapsed="false">
      <c r="B30" s="9" t="s">
        <v>27</v>
      </c>
      <c r="C30" s="10" t="s">
        <v>28</v>
      </c>
      <c r="D30" s="10"/>
      <c r="E30" s="10"/>
    </row>
    <row r="31" customFormat="false" ht="18" hidden="false" customHeight="true" outlineLevel="0" collapsed="false">
      <c r="B31" s="9" t="s">
        <v>29</v>
      </c>
      <c r="C31" s="10" t="s">
        <v>30</v>
      </c>
      <c r="D31" s="10"/>
      <c r="E31" s="10"/>
    </row>
    <row r="32" customFormat="false" ht="18" hidden="false" customHeight="true" outlineLevel="0" collapsed="false">
      <c r="B32" s="9" t="s">
        <v>31</v>
      </c>
      <c r="C32" s="10" t="s">
        <v>32</v>
      </c>
      <c r="D32" s="10"/>
      <c r="E32" s="10"/>
    </row>
    <row r="34" customFormat="false" ht="18" hidden="false" customHeight="true" outlineLevel="0" collapsed="false">
      <c r="B34" s="11" t="s">
        <v>3</v>
      </c>
      <c r="C34" s="11"/>
      <c r="D34" s="11"/>
      <c r="E34" s="11"/>
      <c r="F34" s="11"/>
    </row>
  </sheetData>
  <mergeCells count="21">
    <mergeCell ref="B4:E4"/>
    <mergeCell ref="B6:E7"/>
    <mergeCell ref="B9:E9"/>
    <mergeCell ref="B11:E11"/>
    <mergeCell ref="B15:E15"/>
    <mergeCell ref="C16:E16"/>
    <mergeCell ref="C17:E17"/>
    <mergeCell ref="C18:E18"/>
    <mergeCell ref="C19:E19"/>
    <mergeCell ref="C20:E20"/>
    <mergeCell ref="C21:E21"/>
    <mergeCell ref="B23:E23"/>
    <mergeCell ref="C24:E24"/>
    <mergeCell ref="C25:E25"/>
    <mergeCell ref="C26:E26"/>
    <mergeCell ref="C27:E27"/>
    <mergeCell ref="B29:E29"/>
    <mergeCell ref="C30:E30"/>
    <mergeCell ref="C31:E31"/>
    <mergeCell ref="C32:E32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611C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4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1" min="10" style="0" width="3"/>
  </cols>
  <sheetData>
    <row r="1" customFormat="false" ht="25.5" hidden="false" customHeight="true" outlineLevel="0" collapsed="false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" hidden="false" customHeight="true" outlineLevel="0" collapsed="false">
      <c r="A2" s="13" t="s">
        <v>34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customFormat="false" ht="7.5" hidden="false" customHeight="true" outlineLevel="0" collapsed="false"/>
    <row r="6" customFormat="false" ht="19.5" hidden="false" customHeight="true" outlineLevel="0" collapsed="false">
      <c r="B6" s="6" t="s">
        <v>35</v>
      </c>
      <c r="C6" s="6"/>
      <c r="D6" s="6"/>
      <c r="E6" s="6"/>
      <c r="F6" s="6"/>
      <c r="G6" s="6"/>
      <c r="H6" s="6"/>
      <c r="I6" s="6"/>
    </row>
    <row r="8" customFormat="false" ht="16.5" hidden="false" customHeight="true" outlineLevel="0" collapsed="false">
      <c r="B8" s="15" t="s">
        <v>36</v>
      </c>
      <c r="C8" s="15"/>
      <c r="E8" s="16" t="s">
        <v>37</v>
      </c>
      <c r="F8" s="16"/>
      <c r="H8" s="17" t="s">
        <v>38</v>
      </c>
      <c r="I8" s="17"/>
    </row>
    <row r="9" customFormat="false" ht="33.75" hidden="false" customHeight="true" outlineLevel="0" collapsed="false">
      <c r="B9" s="18" t="n">
        <f aca="false">COUNTIF(Tareas!$B$7:$B$206,"?*")-COUNTIF(Tareas!$I$7:$I$206,"Hecha")-COUNTIF(Tareas!$I$7:$I$206,"Cancelada")</f>
        <v>3</v>
      </c>
      <c r="C9" s="18"/>
      <c r="E9" s="18" t="n">
        <f aca="false">COUNTIF(Tareas!$K$7:$K$206,"Vencida")</f>
        <v>1</v>
      </c>
      <c r="F9" s="18"/>
      <c r="H9" s="18" t="n">
        <f aca="false">COUNTIF(Tareas!$K$7:$K$206,"Hoy")</f>
        <v>0</v>
      </c>
      <c r="I9" s="18"/>
    </row>
    <row r="11" customFormat="false" ht="16.5" hidden="false" customHeight="true" outlineLevel="0" collapsed="false">
      <c r="B11" s="15" t="s">
        <v>39</v>
      </c>
      <c r="C11" s="15"/>
      <c r="E11" s="16" t="s">
        <v>40</v>
      </c>
      <c r="F11" s="16"/>
      <c r="H11" s="19" t="s">
        <v>41</v>
      </c>
      <c r="I11" s="19"/>
    </row>
    <row r="12" customFormat="false" ht="33.75" hidden="false" customHeight="true" outlineLevel="0" collapsed="false">
      <c r="B12" s="18" t="n">
        <f aca="false">COUNTIF(Tareas!$K$7:$K$206,"Esta semana")</f>
        <v>2</v>
      </c>
      <c r="C12" s="18"/>
      <c r="E12" s="18" t="n">
        <f aca="false">COUNTIFS(Tareas!$D$7:$D$206,"P1 · Urgente",Tareas!$I$7:$I$206,"&lt;&gt;Hecha",Tareas!$I$7:$I$206,"&lt;&gt;Cancelada")</f>
        <v>1</v>
      </c>
      <c r="F12" s="18"/>
      <c r="H12" s="18" t="n">
        <f aca="false">COUNTIF(Tareas!$I$7:$I$206,"En espera")</f>
        <v>0</v>
      </c>
      <c r="I12" s="18"/>
    </row>
    <row r="14" customFormat="false" ht="16.5" hidden="false" customHeight="true" outlineLevel="0" collapsed="false">
      <c r="B14" s="20" t="s">
        <v>42</v>
      </c>
      <c r="C14" s="20"/>
      <c r="E14" s="20" t="s">
        <v>43</v>
      </c>
      <c r="F14" s="20"/>
      <c r="H14" s="17" t="s">
        <v>44</v>
      </c>
      <c r="I14" s="17"/>
    </row>
    <row r="15" customFormat="false" ht="33.75" hidden="false" customHeight="true" outlineLevel="0" collapsed="false">
      <c r="B15" s="18" t="n">
        <f aca="false">COUNTIF(Tareas!$I$7:$I$206,"Hecha")</f>
        <v>0</v>
      </c>
      <c r="C15" s="18"/>
      <c r="E15" s="18" t="n">
        <f aca="true">COUNTIFS(Tareas!$N$7:$N$206,"&gt;="&amp;TODAY()-WEEKDAY(TODAY(),2)+1,Tareas!$N$7:$N$206,"&lt;="&amp;TODAY())</f>
        <v>0</v>
      </c>
      <c r="F15" s="18"/>
      <c r="H15" s="21" t="n">
        <f aca="false">IFERROR(COUNTIF(Tareas!$I$7:$I$206,"Hecha")/(COUNTIF(Tareas!$B$7:$B$206,"?*")-COUNTIF(Tareas!$I$7:$I$206,"Cancelada")),0)</f>
        <v>0</v>
      </c>
      <c r="I15" s="21"/>
    </row>
    <row r="18" customFormat="false" ht="19.5" hidden="false" customHeight="true" outlineLevel="0" collapsed="false">
      <c r="B18" s="6" t="s">
        <v>45</v>
      </c>
      <c r="C18" s="6"/>
      <c r="E18" s="6" t="s">
        <v>46</v>
      </c>
      <c r="F18" s="6"/>
      <c r="H18" s="6" t="s">
        <v>47</v>
      </c>
      <c r="I18" s="6"/>
    </row>
    <row r="19" customFormat="false" ht="21.75" hidden="false" customHeight="true" outlineLevel="0" collapsed="false">
      <c r="B19" s="22" t="s">
        <v>48</v>
      </c>
      <c r="C19" s="22" t="s">
        <v>49</v>
      </c>
      <c r="E19" s="22" t="s">
        <v>50</v>
      </c>
      <c r="F19" s="22" t="s">
        <v>7</v>
      </c>
      <c r="H19" s="22" t="s">
        <v>51</v>
      </c>
      <c r="I19" s="22" t="s">
        <v>49</v>
      </c>
    </row>
    <row r="20" customFormat="false" ht="15" hidden="false" customHeight="false" outlineLevel="0" collapsed="false">
      <c r="B20" s="8" t="s">
        <v>52</v>
      </c>
      <c r="C20" s="23" t="n">
        <f aca="false">COUNTIFS(Tareas!$D$7:$D$206,"P1 · Urgente",Tareas!$I$7:$I$206,"&lt;&gt;Hecha",Tareas!$I$7:$I$206,"&lt;&gt;Cancelada")</f>
        <v>1</v>
      </c>
      <c r="E20" s="8" t="s">
        <v>53</v>
      </c>
      <c r="F20" s="23" t="n">
        <f aca="false">COUNTIF(Tareas!$I$7:$I$206,"Por hacer")</f>
        <v>2</v>
      </c>
      <c r="H20" s="8" t="s">
        <v>54</v>
      </c>
      <c r="I20" s="23" t="n">
        <f aca="false">COUNTIFS(Tareas!$E$7:$E$206,"Oficina",Tareas!$I$7:$I$206,"&lt;&gt;Hecha",Tareas!$I$7:$I$206,"&lt;&gt;Cancelada")</f>
        <v>0</v>
      </c>
    </row>
    <row r="21" customFormat="false" ht="15" hidden="false" customHeight="false" outlineLevel="0" collapsed="false">
      <c r="B21" s="24" t="s">
        <v>55</v>
      </c>
      <c r="C21" s="25" t="n">
        <f aca="false">COUNTIFS(Tareas!$D$7:$D$206,"P2 · Importante",Tareas!$I$7:$I$206,"&lt;&gt;Hecha",Tareas!$I$7:$I$206,"&lt;&gt;Cancelada")</f>
        <v>1</v>
      </c>
      <c r="E21" s="24" t="s">
        <v>56</v>
      </c>
      <c r="F21" s="25" t="n">
        <f aca="false">COUNTIF(Tareas!$I$7:$I$206,"En curso")</f>
        <v>1</v>
      </c>
      <c r="H21" s="24" t="s">
        <v>57</v>
      </c>
      <c r="I21" s="25" t="n">
        <f aca="false">COUNTIFS(Tareas!$E$7:$E$206,"Casa",Tareas!$I$7:$I$206,"&lt;&gt;Hecha",Tareas!$I$7:$I$206,"&lt;&gt;Cancelada")</f>
        <v>0</v>
      </c>
    </row>
    <row r="22" customFormat="false" ht="15" hidden="false" customHeight="false" outlineLevel="0" collapsed="false">
      <c r="B22" s="8" t="s">
        <v>58</v>
      </c>
      <c r="C22" s="23" t="n">
        <f aca="false">COUNTIFS(Tareas!$D$7:$D$206,"P3 · Normal",Tareas!$I$7:$I$206,"&lt;&gt;Hecha",Tareas!$I$7:$I$206,"&lt;&gt;Cancelada")</f>
        <v>1</v>
      </c>
      <c r="E22" s="8" t="s">
        <v>59</v>
      </c>
      <c r="F22" s="23" t="n">
        <f aca="false">COUNTIF(Tareas!$I$7:$I$206,"En espera")</f>
        <v>0</v>
      </c>
      <c r="H22" s="8" t="s">
        <v>60</v>
      </c>
      <c r="I22" s="23" t="n">
        <f aca="false">COUNTIFS(Tareas!$E$7:$E$206,"Computadora",Tareas!$I$7:$I$206,"&lt;&gt;Hecha",Tareas!$I$7:$I$206,"&lt;&gt;Cancelada")</f>
        <v>2</v>
      </c>
    </row>
    <row r="23" customFormat="false" ht="15" hidden="false" customHeight="false" outlineLevel="0" collapsed="false">
      <c r="B23" s="24" t="s">
        <v>61</v>
      </c>
      <c r="C23" s="25" t="n">
        <f aca="false">COUNTIFS(Tareas!$D$7:$D$206,"P4 · Algún día",Tareas!$I$7:$I$206,"&lt;&gt;Hecha",Tareas!$I$7:$I$206,"&lt;&gt;Cancelada")</f>
        <v>0</v>
      </c>
      <c r="E23" s="24" t="s">
        <v>62</v>
      </c>
      <c r="F23" s="25" t="n">
        <f aca="false">COUNTIF(Tareas!$I$7:$I$206,"Hecha")</f>
        <v>0</v>
      </c>
      <c r="H23" s="24" t="s">
        <v>63</v>
      </c>
      <c r="I23" s="25" t="n">
        <f aca="false">COUNTIFS(Tareas!$E$7:$E$206,"Teléfono",Tareas!$I$7:$I$206,"&lt;&gt;Hecha",Tareas!$I$7:$I$206,"&lt;&gt;Cancelada")</f>
        <v>1</v>
      </c>
    </row>
    <row r="24" customFormat="false" ht="15" hidden="false" customHeight="false" outlineLevel="0" collapsed="false">
      <c r="E24" s="8" t="s">
        <v>64</v>
      </c>
      <c r="F24" s="23" t="n">
        <f aca="false">COUNTIF(Tareas!$I$7:$I$206,"Cancelada")</f>
        <v>0</v>
      </c>
      <c r="H24" s="8" t="s">
        <v>65</v>
      </c>
      <c r="I24" s="23" t="n">
        <f aca="false">COUNTIFS(Tareas!$E$7:$E$206,"Recados",Tareas!$I$7:$I$206,"&lt;&gt;Hecha",Tareas!$I$7:$I$206,"&lt;&gt;Cancelada")</f>
        <v>0</v>
      </c>
    </row>
    <row r="25" customFormat="false" ht="15" hidden="false" customHeight="false" outlineLevel="0" collapsed="false">
      <c r="H25" s="24" t="s">
        <v>66</v>
      </c>
      <c r="I25" s="25" t="n">
        <f aca="false">COUNTIFS(Tareas!$E$7:$E$206,"Reunión",Tareas!$I$7:$I$206,"&lt;&gt;Hecha",Tareas!$I$7:$I$206,"&lt;&gt;Cancelada")</f>
        <v>0</v>
      </c>
    </row>
    <row r="28" customFormat="false" ht="18" hidden="false" customHeight="true" outlineLevel="0" collapsed="false">
      <c r="B28" s="11" t="s">
        <v>67</v>
      </c>
      <c r="C28" s="11"/>
      <c r="D28" s="11"/>
      <c r="E28" s="11"/>
      <c r="F28" s="11"/>
      <c r="G28" s="11"/>
      <c r="H28" s="11"/>
      <c r="I28" s="11"/>
    </row>
  </sheetData>
  <mergeCells count="26">
    <mergeCell ref="A1:K1"/>
    <mergeCell ref="A2:K2"/>
    <mergeCell ref="A3:K3"/>
    <mergeCell ref="B6:I6"/>
    <mergeCell ref="B8:C8"/>
    <mergeCell ref="E8:F8"/>
    <mergeCell ref="H8:I8"/>
    <mergeCell ref="B9:C9"/>
    <mergeCell ref="E9:F9"/>
    <mergeCell ref="H9:I9"/>
    <mergeCell ref="B11:C11"/>
    <mergeCell ref="E11:F11"/>
    <mergeCell ref="H11:I11"/>
    <mergeCell ref="B12:C12"/>
    <mergeCell ref="E12:F12"/>
    <mergeCell ref="H12:I12"/>
    <mergeCell ref="B14:C14"/>
    <mergeCell ref="E14:F14"/>
    <mergeCell ref="H14:I14"/>
    <mergeCell ref="B15:C15"/>
    <mergeCell ref="E15:F15"/>
    <mergeCell ref="H15:I15"/>
    <mergeCell ref="B18:C18"/>
    <mergeCell ref="E18:F18"/>
    <mergeCell ref="H18:I18"/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P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32"/>
    <col collapsed="false" customWidth="true" hidden="false" outlineLevel="0" max="14" min="14" style="0" width="13"/>
    <col collapsed="false" customWidth="true" hidden="true" outlineLevel="0" max="15" min="15" style="0" width="11"/>
    <col collapsed="false" customWidth="true" hidden="true" outlineLevel="0" max="16" min="16" style="0" width="13"/>
  </cols>
  <sheetData>
    <row r="1" customFormat="false" ht="25.5" hidden="false" customHeight="true" outlineLevel="0" collapsed="false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" hidden="false" customHeight="true" outlineLevel="0" collapsed="false">
      <c r="A2" s="13" t="s">
        <v>69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customFormat="false" ht="7.5" hidden="false" customHeight="true" outlineLevel="0" collapsed="false"/>
    <row r="6" customFormat="false" ht="30" hidden="false" customHeight="true" outlineLevel="0" collapsed="false">
      <c r="A6" s="22" t="s">
        <v>70</v>
      </c>
      <c r="B6" s="22" t="s">
        <v>71</v>
      </c>
      <c r="C6" s="22" t="s">
        <v>72</v>
      </c>
      <c r="D6" s="22" t="s">
        <v>48</v>
      </c>
      <c r="E6" s="22" t="s">
        <v>51</v>
      </c>
      <c r="F6" s="22" t="s">
        <v>73</v>
      </c>
      <c r="G6" s="22" t="s">
        <v>74</v>
      </c>
      <c r="H6" s="22" t="s">
        <v>75</v>
      </c>
      <c r="I6" s="22" t="s">
        <v>50</v>
      </c>
      <c r="J6" s="22" t="s">
        <v>76</v>
      </c>
      <c r="K6" s="22" t="s">
        <v>77</v>
      </c>
      <c r="L6" s="22" t="s">
        <v>78</v>
      </c>
      <c r="M6" s="22" t="s">
        <v>79</v>
      </c>
      <c r="N6" s="22" t="s">
        <v>80</v>
      </c>
      <c r="O6" s="26" t="s">
        <v>81</v>
      </c>
      <c r="P6" s="26" t="s">
        <v>82</v>
      </c>
    </row>
    <row r="7" customFormat="false" ht="15" hidden="false" customHeight="false" outlineLevel="0" collapsed="false">
      <c r="A7" s="23" t="n">
        <f aca="false">IF($B7="","",ROW()-6)</f>
        <v>1</v>
      </c>
      <c r="B7" s="27" t="s">
        <v>83</v>
      </c>
      <c r="C7" s="27" t="s">
        <v>84</v>
      </c>
      <c r="D7" s="27" t="s">
        <v>52</v>
      </c>
      <c r="E7" s="27" t="s">
        <v>60</v>
      </c>
      <c r="F7" s="27" t="s">
        <v>85</v>
      </c>
      <c r="G7" s="27" t="s">
        <v>86</v>
      </c>
      <c r="H7" s="28" t="n">
        <v>46236</v>
      </c>
      <c r="I7" s="27" t="s">
        <v>56</v>
      </c>
      <c r="J7" s="23" t="n">
        <f aca="true">IF(OR($B7="",$H7=""),"",IF(OR($I7="Hecha",$I7="Cancelada"),"-",$H7-TODAY()))</f>
        <v>2</v>
      </c>
      <c r="K7" s="29" t="str">
        <f aca="true">IF($B7="","",IF($I7="Hecha","Hecha",IF($I7="Cancelada","Cancelada",IF($I7="En espera","En espera",IF($H7="","Sin fecha",IF($H7&lt;TODAY(),"Vencida",IF($H7=TODAY(),"Hoy",IF($H7-TODAY()&lt;=7,"Esta semana","Más adelante"))))))))</f>
        <v>Esta semana</v>
      </c>
      <c r="L7" s="27" t="s">
        <v>87</v>
      </c>
      <c r="M7" s="27" t="s">
        <v>88</v>
      </c>
      <c r="N7" s="28"/>
      <c r="O7" s="30" t="str">
        <f aca="false">IF($B7="","",IF(OR($K7="Vencida",$K7="Hoy"),COUNTIF($K$7:$K7,"Vencida")+COUNTIF($K$7:$K7,"Hoy"),""))</f>
        <v/>
      </c>
      <c r="P7" s="30" t="str">
        <f aca="false">IF(OR($B7="",$H7="",$I7="Hecha",$I7="Cancelada"),"",TEXT($H7,"yyyymmdd")&amp;"-"&amp;COUNTIFS($H$7:$H7,$H7,$I$7:$I7,"&lt;&gt;Hecha",$I$7:$I7,"&lt;&gt;Cancelada"))</f>
        <v>20260802-1</v>
      </c>
    </row>
    <row r="8" customFormat="false" ht="15" hidden="false" customHeight="false" outlineLevel="0" collapsed="false">
      <c r="A8" s="25" t="n">
        <f aca="false">IF($B8="","",ROW()-6)</f>
        <v>2</v>
      </c>
      <c r="B8" s="27" t="s">
        <v>89</v>
      </c>
      <c r="C8" s="27" t="s">
        <v>90</v>
      </c>
      <c r="D8" s="27" t="s">
        <v>58</v>
      </c>
      <c r="E8" s="27" t="s">
        <v>60</v>
      </c>
      <c r="F8" s="27" t="s">
        <v>91</v>
      </c>
      <c r="G8" s="27" t="s">
        <v>86</v>
      </c>
      <c r="H8" s="28" t="n">
        <v>46239</v>
      </c>
      <c r="I8" s="27" t="s">
        <v>53</v>
      </c>
      <c r="J8" s="25" t="n">
        <f aca="true">IF(OR($B8="",$H8=""),"",IF(OR($I8="Hecha",$I8="Cancelada"),"-",$H8-TODAY()))</f>
        <v>5</v>
      </c>
      <c r="K8" s="31" t="str">
        <f aca="true">IF($B8="","",IF($I8="Hecha","Hecha",IF($I8="Cancelada","Cancelada",IF($I8="En espera","En espera",IF($H8="","Sin fecha",IF($H8&lt;TODAY(),"Vencida",IF($H8=TODAY(),"Hoy",IF($H8-TODAY()&lt;=7,"Esta semana","Más adelante"))))))))</f>
        <v>Esta semana</v>
      </c>
      <c r="L8" s="27" t="s">
        <v>92</v>
      </c>
      <c r="M8" s="27"/>
      <c r="N8" s="28"/>
      <c r="O8" s="30" t="str">
        <f aca="false">IF($B8="","",IF(OR($K8="Vencida",$K8="Hoy"),COUNTIF($K$7:$K8,"Vencida")+COUNTIF($K$7:$K8,"Hoy"),""))</f>
        <v/>
      </c>
      <c r="P8" s="30" t="str">
        <f aca="false">IF(OR($B8="",$H8="",$I8="Hecha",$I8="Cancelada"),"",TEXT($H8,"yyyymmdd")&amp;"-"&amp;COUNTIFS($H$7:$H8,$H8,$I$7:$I8,"&lt;&gt;Hecha",$I$7:$I8,"&lt;&gt;Cancelada"))</f>
        <v>20260805-1</v>
      </c>
    </row>
    <row r="9" customFormat="false" ht="15" hidden="false" customHeight="false" outlineLevel="0" collapsed="false">
      <c r="A9" s="23" t="n">
        <f aca="false">IF($B9="","",ROW()-6)</f>
        <v>3</v>
      </c>
      <c r="B9" s="27" t="s">
        <v>93</v>
      </c>
      <c r="C9" s="27" t="s">
        <v>94</v>
      </c>
      <c r="D9" s="27" t="s">
        <v>55</v>
      </c>
      <c r="E9" s="27" t="s">
        <v>63</v>
      </c>
      <c r="F9" s="27" t="s">
        <v>95</v>
      </c>
      <c r="G9" s="27" t="s">
        <v>86</v>
      </c>
      <c r="H9" s="28" t="n">
        <v>46233</v>
      </c>
      <c r="I9" s="27" t="s">
        <v>53</v>
      </c>
      <c r="J9" s="23" t="n">
        <f aca="true">IF(OR($B9="",$H9=""),"",IF(OR($I9="Hecha",$I9="Cancelada"),"-",$H9-TODAY()))</f>
        <v>-1</v>
      </c>
      <c r="K9" s="29" t="str">
        <f aca="true">IF($B9="","",IF($I9="Hecha","Hecha",IF($I9="Cancelada","Cancelada",IF($I9="En espera","En espera",IF($H9="","Sin fecha",IF($H9&lt;TODAY(),"Vencida",IF($H9=TODAY(),"Hoy",IF($H9-TODAY()&lt;=7,"Esta semana","Más adelante"))))))))</f>
        <v>Vencida</v>
      </c>
      <c r="L9" s="27" t="s">
        <v>87</v>
      </c>
      <c r="M9" s="27" t="s">
        <v>96</v>
      </c>
      <c r="N9" s="28"/>
      <c r="O9" s="30" t="n">
        <f aca="false">IF($B9="","",IF(OR($K9="Vencida",$K9="Hoy"),COUNTIF($K$7:$K9,"Vencida")+COUNTIF($K$7:$K9,"Hoy"),""))</f>
        <v>1</v>
      </c>
      <c r="P9" s="30" t="str">
        <f aca="false">IF(OR($B9="",$H9="",$I9="Hecha",$I9="Cancelada"),"",TEXT($H9,"yyyymmdd")&amp;"-"&amp;COUNTIFS($H$7:$H9,$H9,$I$7:$I9,"&lt;&gt;Hecha",$I$7:$I9,"&lt;&gt;Cancelada"))</f>
        <v>20260730-1</v>
      </c>
    </row>
    <row r="10" customFormat="false" ht="15" hidden="false" customHeight="false" outlineLevel="0" collapsed="false">
      <c r="A10" s="25" t="str">
        <f aca="false">IF($B10="","",ROW()-6)</f>
        <v/>
      </c>
      <c r="B10" s="27"/>
      <c r="C10" s="27"/>
      <c r="D10" s="27"/>
      <c r="E10" s="27"/>
      <c r="F10" s="27"/>
      <c r="G10" s="27"/>
      <c r="H10" s="28"/>
      <c r="I10" s="27"/>
      <c r="J10" s="25" t="str">
        <f aca="true">IF(OR($B10="",$H10=""),"",IF(OR($I10="Hecha",$I10="Cancelada"),"-",$H10-TODAY()))</f>
        <v/>
      </c>
      <c r="K10" s="31" t="str">
        <f aca="true">IF($B10="","",IF($I10="Hecha","Hecha",IF($I10="Cancelada","Cancelada",IF($I10="En espera","En espera",IF($H10="","Sin fecha",IF($H10&lt;TODAY(),"Vencida",IF($H10=TODAY(),"Hoy",IF($H10-TODAY()&lt;=7,"Esta semana","Más adelante"))))))))</f>
        <v/>
      </c>
      <c r="L10" s="27"/>
      <c r="M10" s="27"/>
      <c r="N10" s="28"/>
      <c r="O10" s="30" t="str">
        <f aca="false">IF($B10="","",IF(OR($K10="Vencida",$K10="Hoy"),COUNTIF($K$7:$K10,"Vencida")+COUNTIF($K$7:$K10,"Hoy"),""))</f>
        <v/>
      </c>
      <c r="P10" s="30" t="str">
        <f aca="false">IF(OR($B10="",$H10="",$I10="Hecha",$I10="Cancelada"),"",TEXT($H10,"yyyymmdd")&amp;"-"&amp;COUNTIFS($H$7:$H10,$H10,$I$7:$I10,"&lt;&gt;Hecha",$I$7:$I10,"&lt;&gt;Cancelada"))</f>
        <v/>
      </c>
    </row>
    <row r="11" customFormat="false" ht="15" hidden="false" customHeight="false" outlineLevel="0" collapsed="false">
      <c r="A11" s="23" t="str">
        <f aca="false">IF($B11="","",ROW()-6)</f>
        <v/>
      </c>
      <c r="B11" s="27"/>
      <c r="C11" s="27"/>
      <c r="D11" s="27"/>
      <c r="E11" s="27"/>
      <c r="F11" s="27"/>
      <c r="G11" s="27"/>
      <c r="H11" s="28"/>
      <c r="I11" s="27"/>
      <c r="J11" s="23" t="str">
        <f aca="true">IF(OR($B11="",$H11=""),"",IF(OR($I11="Hecha",$I11="Cancelada"),"-",$H11-TODAY()))</f>
        <v/>
      </c>
      <c r="K11" s="29" t="str">
        <f aca="true">IF($B11="","",IF($I11="Hecha","Hecha",IF($I11="Cancelada","Cancelada",IF($I11="En espera","En espera",IF($H11="","Sin fecha",IF($H11&lt;TODAY(),"Vencida",IF($H11=TODAY(),"Hoy",IF($H11-TODAY()&lt;=7,"Esta semana","Más adelante"))))))))</f>
        <v/>
      </c>
      <c r="L11" s="27"/>
      <c r="M11" s="27"/>
      <c r="N11" s="28"/>
      <c r="O11" s="30" t="str">
        <f aca="false">IF($B11="","",IF(OR($K11="Vencida",$K11="Hoy"),COUNTIF($K$7:$K11,"Vencida")+COUNTIF($K$7:$K11,"Hoy"),""))</f>
        <v/>
      </c>
      <c r="P11" s="30" t="str">
        <f aca="false">IF(OR($B11="",$H11="",$I11="Hecha",$I11="Cancelada"),"",TEXT($H11,"yyyymmdd")&amp;"-"&amp;COUNTIFS($H$7:$H11,$H11,$I$7:$I11,"&lt;&gt;Hecha",$I$7:$I11,"&lt;&gt;Cancelada"))</f>
        <v/>
      </c>
    </row>
    <row r="12" customFormat="false" ht="15" hidden="false" customHeight="false" outlineLevel="0" collapsed="false">
      <c r="A12" s="25" t="str">
        <f aca="false">IF($B12="","",ROW()-6)</f>
        <v/>
      </c>
      <c r="B12" s="27"/>
      <c r="C12" s="27"/>
      <c r="D12" s="27"/>
      <c r="E12" s="27"/>
      <c r="F12" s="27"/>
      <c r="G12" s="27"/>
      <c r="H12" s="28"/>
      <c r="I12" s="27"/>
      <c r="J12" s="25" t="str">
        <f aca="true">IF(OR($B12="",$H12=""),"",IF(OR($I12="Hecha",$I12="Cancelada"),"-",$H12-TODAY()))</f>
        <v/>
      </c>
      <c r="K12" s="31" t="str">
        <f aca="true">IF($B12="","",IF($I12="Hecha","Hecha",IF($I12="Cancelada","Cancelada",IF($I12="En espera","En espera",IF($H12="","Sin fecha",IF($H12&lt;TODAY(),"Vencida",IF($H12=TODAY(),"Hoy",IF($H12-TODAY()&lt;=7,"Esta semana","Más adelante"))))))))</f>
        <v/>
      </c>
      <c r="L12" s="27"/>
      <c r="M12" s="27"/>
      <c r="N12" s="28"/>
      <c r="O12" s="30" t="str">
        <f aca="false">IF($B12="","",IF(OR($K12="Vencida",$K12="Hoy"),COUNTIF($K$7:$K12,"Vencida")+COUNTIF($K$7:$K12,"Hoy"),""))</f>
        <v/>
      </c>
      <c r="P12" s="30" t="str">
        <f aca="false">IF(OR($B12="",$H12="",$I12="Hecha",$I12="Cancelada"),"",TEXT($H12,"yyyymmdd")&amp;"-"&amp;COUNTIFS($H$7:$H12,$H12,$I$7:$I12,"&lt;&gt;Hecha",$I$7:$I12,"&lt;&gt;Cancelada"))</f>
        <v/>
      </c>
    </row>
    <row r="13" customFormat="false" ht="15" hidden="false" customHeight="false" outlineLevel="0" collapsed="false">
      <c r="A13" s="23" t="str">
        <f aca="false">IF($B13="","",ROW()-6)</f>
        <v/>
      </c>
      <c r="B13" s="27"/>
      <c r="C13" s="27"/>
      <c r="D13" s="27"/>
      <c r="E13" s="27"/>
      <c r="F13" s="27"/>
      <c r="G13" s="27"/>
      <c r="H13" s="28"/>
      <c r="I13" s="27"/>
      <c r="J13" s="23" t="str">
        <f aca="true">IF(OR($B13="",$H13=""),"",IF(OR($I13="Hecha",$I13="Cancelada"),"-",$H13-TODAY()))</f>
        <v/>
      </c>
      <c r="K13" s="29" t="str">
        <f aca="true">IF($B13="","",IF($I13="Hecha","Hecha",IF($I13="Cancelada","Cancelada",IF($I13="En espera","En espera",IF($H13="","Sin fecha",IF($H13&lt;TODAY(),"Vencida",IF($H13=TODAY(),"Hoy",IF($H13-TODAY()&lt;=7,"Esta semana","Más adelante"))))))))</f>
        <v/>
      </c>
      <c r="L13" s="27"/>
      <c r="M13" s="27"/>
      <c r="N13" s="28"/>
      <c r="O13" s="30" t="str">
        <f aca="false">IF($B13="","",IF(OR($K13="Vencida",$K13="Hoy"),COUNTIF($K$7:$K13,"Vencida")+COUNTIF($K$7:$K13,"Hoy"),""))</f>
        <v/>
      </c>
      <c r="P13" s="30" t="str">
        <f aca="false">IF(OR($B13="",$H13="",$I13="Hecha",$I13="Cancelada"),"",TEXT($H13,"yyyymmdd")&amp;"-"&amp;COUNTIFS($H$7:$H13,$H13,$I$7:$I13,"&lt;&gt;Hecha",$I$7:$I13,"&lt;&gt;Cancelada"))</f>
        <v/>
      </c>
    </row>
    <row r="14" customFormat="false" ht="15" hidden="false" customHeight="false" outlineLevel="0" collapsed="false">
      <c r="A14" s="25" t="str">
        <f aca="false">IF($B14="","",ROW()-6)</f>
        <v/>
      </c>
      <c r="B14" s="27"/>
      <c r="C14" s="27"/>
      <c r="D14" s="27"/>
      <c r="E14" s="27"/>
      <c r="F14" s="27"/>
      <c r="G14" s="27"/>
      <c r="H14" s="28"/>
      <c r="I14" s="27"/>
      <c r="J14" s="25" t="str">
        <f aca="true">IF(OR($B14="",$H14=""),"",IF(OR($I14="Hecha",$I14="Cancelada"),"-",$H14-TODAY()))</f>
        <v/>
      </c>
      <c r="K14" s="31" t="str">
        <f aca="true">IF($B14="","",IF($I14="Hecha","Hecha",IF($I14="Cancelada","Cancelada",IF($I14="En espera","En espera",IF($H14="","Sin fecha",IF($H14&lt;TODAY(),"Vencida",IF($H14=TODAY(),"Hoy",IF($H14-TODAY()&lt;=7,"Esta semana","Más adelante"))))))))</f>
        <v/>
      </c>
      <c r="L14" s="27"/>
      <c r="M14" s="27"/>
      <c r="N14" s="28"/>
      <c r="O14" s="30" t="str">
        <f aca="false">IF($B14="","",IF(OR($K14="Vencida",$K14="Hoy"),COUNTIF($K$7:$K14,"Vencida")+COUNTIF($K$7:$K14,"Hoy"),""))</f>
        <v/>
      </c>
      <c r="P14" s="30" t="str">
        <f aca="false">IF(OR($B14="",$H14="",$I14="Hecha",$I14="Cancelada"),"",TEXT($H14,"yyyymmdd")&amp;"-"&amp;COUNTIFS($H$7:$H14,$H14,$I$7:$I14,"&lt;&gt;Hecha",$I$7:$I14,"&lt;&gt;Cancelada"))</f>
        <v/>
      </c>
    </row>
    <row r="15" customFormat="false" ht="15" hidden="false" customHeight="false" outlineLevel="0" collapsed="false">
      <c r="A15" s="23" t="str">
        <f aca="false">IF($B15="","",ROW()-6)</f>
        <v/>
      </c>
      <c r="B15" s="27"/>
      <c r="C15" s="27"/>
      <c r="D15" s="27"/>
      <c r="E15" s="27"/>
      <c r="F15" s="27"/>
      <c r="G15" s="27"/>
      <c r="H15" s="28"/>
      <c r="I15" s="27"/>
      <c r="J15" s="23" t="str">
        <f aca="true">IF(OR($B15="",$H15=""),"",IF(OR($I15="Hecha",$I15="Cancelada"),"-",$H15-TODAY()))</f>
        <v/>
      </c>
      <c r="K15" s="29" t="str">
        <f aca="true">IF($B15="","",IF($I15="Hecha","Hecha",IF($I15="Cancelada","Cancelada",IF($I15="En espera","En espera",IF($H15="","Sin fecha",IF($H15&lt;TODAY(),"Vencida",IF($H15=TODAY(),"Hoy",IF($H15-TODAY()&lt;=7,"Esta semana","Más adelante"))))))))</f>
        <v/>
      </c>
      <c r="L15" s="27"/>
      <c r="M15" s="27"/>
      <c r="N15" s="28"/>
      <c r="O15" s="30" t="str">
        <f aca="false">IF($B15="","",IF(OR($K15="Vencida",$K15="Hoy"),COUNTIF($K$7:$K15,"Vencida")+COUNTIF($K$7:$K15,"Hoy"),""))</f>
        <v/>
      </c>
      <c r="P15" s="30" t="str">
        <f aca="false">IF(OR($B15="",$H15="",$I15="Hecha",$I15="Cancelada"),"",TEXT($H15,"yyyymmdd")&amp;"-"&amp;COUNTIFS($H$7:$H15,$H15,$I$7:$I15,"&lt;&gt;Hecha",$I$7:$I15,"&lt;&gt;Cancelada"))</f>
        <v/>
      </c>
    </row>
    <row r="16" customFormat="false" ht="15" hidden="false" customHeight="false" outlineLevel="0" collapsed="false">
      <c r="A16" s="25" t="str">
        <f aca="false">IF($B16="","",ROW()-6)</f>
        <v/>
      </c>
      <c r="B16" s="27"/>
      <c r="C16" s="27"/>
      <c r="D16" s="27"/>
      <c r="E16" s="27"/>
      <c r="F16" s="27"/>
      <c r="G16" s="27"/>
      <c r="H16" s="28"/>
      <c r="I16" s="27"/>
      <c r="J16" s="25" t="str">
        <f aca="true">IF(OR($B16="",$H16=""),"",IF(OR($I16="Hecha",$I16="Cancelada"),"-",$H16-TODAY()))</f>
        <v/>
      </c>
      <c r="K16" s="31" t="str">
        <f aca="true">IF($B16="","",IF($I16="Hecha","Hecha",IF($I16="Cancelada","Cancelada",IF($I16="En espera","En espera",IF($H16="","Sin fecha",IF($H16&lt;TODAY(),"Vencida",IF($H16=TODAY(),"Hoy",IF($H16-TODAY()&lt;=7,"Esta semana","Más adelante"))))))))</f>
        <v/>
      </c>
      <c r="L16" s="27"/>
      <c r="M16" s="27"/>
      <c r="N16" s="28"/>
      <c r="O16" s="30" t="str">
        <f aca="false">IF($B16="","",IF(OR($K16="Vencida",$K16="Hoy"),COUNTIF($K$7:$K16,"Vencida")+COUNTIF($K$7:$K16,"Hoy"),""))</f>
        <v/>
      </c>
      <c r="P16" s="30" t="str">
        <f aca="false">IF(OR($B16="",$H16="",$I16="Hecha",$I16="Cancelada"),"",TEXT($H16,"yyyymmdd")&amp;"-"&amp;COUNTIFS($H$7:$H16,$H16,$I$7:$I16,"&lt;&gt;Hecha",$I$7:$I16,"&lt;&gt;Cancelada"))</f>
        <v/>
      </c>
    </row>
    <row r="17" customFormat="false" ht="15" hidden="false" customHeight="false" outlineLevel="0" collapsed="false">
      <c r="A17" s="23" t="str">
        <f aca="false">IF($B17="","",ROW()-6)</f>
        <v/>
      </c>
      <c r="B17" s="27"/>
      <c r="C17" s="27"/>
      <c r="D17" s="27"/>
      <c r="E17" s="27"/>
      <c r="F17" s="27"/>
      <c r="G17" s="27"/>
      <c r="H17" s="28"/>
      <c r="I17" s="27"/>
      <c r="J17" s="23" t="str">
        <f aca="true">IF(OR($B17="",$H17=""),"",IF(OR($I17="Hecha",$I17="Cancelada"),"-",$H17-TODAY()))</f>
        <v/>
      </c>
      <c r="K17" s="29" t="str">
        <f aca="true">IF($B17="","",IF($I17="Hecha","Hecha",IF($I17="Cancelada","Cancelada",IF($I17="En espera","En espera",IF($H17="","Sin fecha",IF($H17&lt;TODAY(),"Vencida",IF($H17=TODAY(),"Hoy",IF($H17-TODAY()&lt;=7,"Esta semana","Más adelante"))))))))</f>
        <v/>
      </c>
      <c r="L17" s="27"/>
      <c r="M17" s="27"/>
      <c r="N17" s="28"/>
      <c r="O17" s="30" t="str">
        <f aca="false">IF($B17="","",IF(OR($K17="Vencida",$K17="Hoy"),COUNTIF($K$7:$K17,"Vencida")+COUNTIF($K$7:$K17,"Hoy"),""))</f>
        <v/>
      </c>
      <c r="P17" s="30" t="str">
        <f aca="false">IF(OR($B17="",$H17="",$I17="Hecha",$I17="Cancelada"),"",TEXT($H17,"yyyymmdd")&amp;"-"&amp;COUNTIFS($H$7:$H17,$H17,$I$7:$I17,"&lt;&gt;Hecha",$I$7:$I17,"&lt;&gt;Cancelada"))</f>
        <v/>
      </c>
    </row>
    <row r="18" customFormat="false" ht="15" hidden="false" customHeight="false" outlineLevel="0" collapsed="false">
      <c r="A18" s="25" t="str">
        <f aca="false">IF($B18="","",ROW()-6)</f>
        <v/>
      </c>
      <c r="B18" s="27"/>
      <c r="C18" s="27"/>
      <c r="D18" s="27"/>
      <c r="E18" s="27"/>
      <c r="F18" s="27"/>
      <c r="G18" s="27"/>
      <c r="H18" s="28"/>
      <c r="I18" s="27"/>
      <c r="J18" s="25" t="str">
        <f aca="true">IF(OR($B18="",$H18=""),"",IF(OR($I18="Hecha",$I18="Cancelada"),"-",$H18-TODAY()))</f>
        <v/>
      </c>
      <c r="K18" s="31" t="str">
        <f aca="true">IF($B18="","",IF($I18="Hecha","Hecha",IF($I18="Cancelada","Cancelada",IF($I18="En espera","En espera",IF($H18="","Sin fecha",IF($H18&lt;TODAY(),"Vencida",IF($H18=TODAY(),"Hoy",IF($H18-TODAY()&lt;=7,"Esta semana","Más adelante"))))))))</f>
        <v/>
      </c>
      <c r="L18" s="27"/>
      <c r="M18" s="27"/>
      <c r="N18" s="28"/>
      <c r="O18" s="30" t="str">
        <f aca="false">IF($B18="","",IF(OR($K18="Vencida",$K18="Hoy"),COUNTIF($K$7:$K18,"Vencida")+COUNTIF($K$7:$K18,"Hoy"),""))</f>
        <v/>
      </c>
      <c r="P18" s="30" t="str">
        <f aca="false">IF(OR($B18="",$H18="",$I18="Hecha",$I18="Cancelada"),"",TEXT($H18,"yyyymmdd")&amp;"-"&amp;COUNTIFS($H$7:$H18,$H18,$I$7:$I18,"&lt;&gt;Hecha",$I$7:$I18,"&lt;&gt;Cancelada"))</f>
        <v/>
      </c>
    </row>
    <row r="19" customFormat="false" ht="15" hidden="false" customHeight="false" outlineLevel="0" collapsed="false">
      <c r="A19" s="23" t="str">
        <f aca="false">IF($B19="","",ROW()-6)</f>
        <v/>
      </c>
      <c r="B19" s="27"/>
      <c r="C19" s="27"/>
      <c r="D19" s="27"/>
      <c r="E19" s="27"/>
      <c r="F19" s="27"/>
      <c r="G19" s="27"/>
      <c r="H19" s="28"/>
      <c r="I19" s="27"/>
      <c r="J19" s="23" t="str">
        <f aca="true">IF(OR($B19="",$H19=""),"",IF(OR($I19="Hecha",$I19="Cancelada"),"-",$H19-TODAY()))</f>
        <v/>
      </c>
      <c r="K19" s="29" t="str">
        <f aca="true">IF($B19="","",IF($I19="Hecha","Hecha",IF($I19="Cancelada","Cancelada",IF($I19="En espera","En espera",IF($H19="","Sin fecha",IF($H19&lt;TODAY(),"Vencida",IF($H19=TODAY(),"Hoy",IF($H19-TODAY()&lt;=7,"Esta semana","Más adelante"))))))))</f>
        <v/>
      </c>
      <c r="L19" s="27"/>
      <c r="M19" s="27"/>
      <c r="N19" s="28"/>
      <c r="O19" s="30" t="str">
        <f aca="false">IF($B19="","",IF(OR($K19="Vencida",$K19="Hoy"),COUNTIF($K$7:$K19,"Vencida")+COUNTIF($K$7:$K19,"Hoy"),""))</f>
        <v/>
      </c>
      <c r="P19" s="30" t="str">
        <f aca="false">IF(OR($B19="",$H19="",$I19="Hecha",$I19="Cancelada"),"",TEXT($H19,"yyyymmdd")&amp;"-"&amp;COUNTIFS($H$7:$H19,$H19,$I$7:$I19,"&lt;&gt;Hecha",$I$7:$I19,"&lt;&gt;Cancelada"))</f>
        <v/>
      </c>
    </row>
    <row r="20" customFormat="false" ht="15" hidden="false" customHeight="false" outlineLevel="0" collapsed="false">
      <c r="A20" s="25" t="str">
        <f aca="false">IF($B20="","",ROW()-6)</f>
        <v/>
      </c>
      <c r="B20" s="27"/>
      <c r="C20" s="27"/>
      <c r="D20" s="27"/>
      <c r="E20" s="27"/>
      <c r="F20" s="27"/>
      <c r="G20" s="27"/>
      <c r="H20" s="28"/>
      <c r="I20" s="27"/>
      <c r="J20" s="25" t="str">
        <f aca="true">IF(OR($B20="",$H20=""),"",IF(OR($I20="Hecha",$I20="Cancelada"),"-",$H20-TODAY()))</f>
        <v/>
      </c>
      <c r="K20" s="31" t="str">
        <f aca="true">IF($B20="","",IF($I20="Hecha","Hecha",IF($I20="Cancelada","Cancelada",IF($I20="En espera","En espera",IF($H20="","Sin fecha",IF($H20&lt;TODAY(),"Vencida",IF($H20=TODAY(),"Hoy",IF($H20-TODAY()&lt;=7,"Esta semana","Más adelante"))))))))</f>
        <v/>
      </c>
      <c r="L20" s="27"/>
      <c r="M20" s="27"/>
      <c r="N20" s="28"/>
      <c r="O20" s="30" t="str">
        <f aca="false">IF($B20="","",IF(OR($K20="Vencida",$K20="Hoy"),COUNTIF($K$7:$K20,"Vencida")+COUNTIF($K$7:$K20,"Hoy"),""))</f>
        <v/>
      </c>
      <c r="P20" s="30" t="str">
        <f aca="false">IF(OR($B20="",$H20="",$I20="Hecha",$I20="Cancelada"),"",TEXT($H20,"yyyymmdd")&amp;"-"&amp;COUNTIFS($H$7:$H20,$H20,$I$7:$I20,"&lt;&gt;Hecha",$I$7:$I20,"&lt;&gt;Cancelada"))</f>
        <v/>
      </c>
    </row>
    <row r="21" customFormat="false" ht="15" hidden="false" customHeight="false" outlineLevel="0" collapsed="false">
      <c r="A21" s="23" t="str">
        <f aca="false">IF($B21="","",ROW()-6)</f>
        <v/>
      </c>
      <c r="B21" s="27"/>
      <c r="C21" s="27"/>
      <c r="D21" s="27"/>
      <c r="E21" s="27"/>
      <c r="F21" s="27"/>
      <c r="G21" s="27"/>
      <c r="H21" s="28"/>
      <c r="I21" s="27"/>
      <c r="J21" s="23" t="str">
        <f aca="true">IF(OR($B21="",$H21=""),"",IF(OR($I21="Hecha",$I21="Cancelada"),"-",$H21-TODAY()))</f>
        <v/>
      </c>
      <c r="K21" s="29" t="str">
        <f aca="true">IF($B21="","",IF($I21="Hecha","Hecha",IF($I21="Cancelada","Cancelada",IF($I21="En espera","En espera",IF($H21="","Sin fecha",IF($H21&lt;TODAY(),"Vencida",IF($H21=TODAY(),"Hoy",IF($H21-TODAY()&lt;=7,"Esta semana","Más adelante"))))))))</f>
        <v/>
      </c>
      <c r="L21" s="27"/>
      <c r="M21" s="27"/>
      <c r="N21" s="28"/>
      <c r="O21" s="30" t="str">
        <f aca="false">IF($B21="","",IF(OR($K21="Vencida",$K21="Hoy"),COUNTIF($K$7:$K21,"Vencida")+COUNTIF($K$7:$K21,"Hoy"),""))</f>
        <v/>
      </c>
      <c r="P21" s="30" t="str">
        <f aca="false">IF(OR($B21="",$H21="",$I21="Hecha",$I21="Cancelada"),"",TEXT($H21,"yyyymmdd")&amp;"-"&amp;COUNTIFS($H$7:$H21,$H21,$I$7:$I21,"&lt;&gt;Hecha",$I$7:$I21,"&lt;&gt;Cancelada"))</f>
        <v/>
      </c>
    </row>
    <row r="22" customFormat="false" ht="15" hidden="false" customHeight="false" outlineLevel="0" collapsed="false">
      <c r="A22" s="25" t="str">
        <f aca="false">IF($B22="","",ROW()-6)</f>
        <v/>
      </c>
      <c r="B22" s="27"/>
      <c r="C22" s="27"/>
      <c r="D22" s="27"/>
      <c r="E22" s="27"/>
      <c r="F22" s="27"/>
      <c r="G22" s="27"/>
      <c r="H22" s="28"/>
      <c r="I22" s="27"/>
      <c r="J22" s="25" t="str">
        <f aca="true">IF(OR($B22="",$H22=""),"",IF(OR($I22="Hecha",$I22="Cancelada"),"-",$H22-TODAY()))</f>
        <v/>
      </c>
      <c r="K22" s="31" t="str">
        <f aca="true">IF($B22="","",IF($I22="Hecha","Hecha",IF($I22="Cancelada","Cancelada",IF($I22="En espera","En espera",IF($H22="","Sin fecha",IF($H22&lt;TODAY(),"Vencida",IF($H22=TODAY(),"Hoy",IF($H22-TODAY()&lt;=7,"Esta semana","Más adelante"))))))))</f>
        <v/>
      </c>
      <c r="L22" s="27"/>
      <c r="M22" s="27"/>
      <c r="N22" s="28"/>
      <c r="O22" s="30" t="str">
        <f aca="false">IF($B22="","",IF(OR($K22="Vencida",$K22="Hoy"),COUNTIF($K$7:$K22,"Vencida")+COUNTIF($K$7:$K22,"Hoy"),""))</f>
        <v/>
      </c>
      <c r="P22" s="30" t="str">
        <f aca="false">IF(OR($B22="",$H22="",$I22="Hecha",$I22="Cancelada"),"",TEXT($H22,"yyyymmdd")&amp;"-"&amp;COUNTIFS($H$7:$H22,$H22,$I$7:$I22,"&lt;&gt;Hecha",$I$7:$I22,"&lt;&gt;Cancelada"))</f>
        <v/>
      </c>
    </row>
    <row r="23" customFormat="false" ht="15" hidden="false" customHeight="false" outlineLevel="0" collapsed="false">
      <c r="A23" s="23" t="str">
        <f aca="false">IF($B23="","",ROW()-6)</f>
        <v/>
      </c>
      <c r="B23" s="27"/>
      <c r="C23" s="27"/>
      <c r="D23" s="27"/>
      <c r="E23" s="27"/>
      <c r="F23" s="27"/>
      <c r="G23" s="27"/>
      <c r="H23" s="28"/>
      <c r="I23" s="27"/>
      <c r="J23" s="23" t="str">
        <f aca="true">IF(OR($B23="",$H23=""),"",IF(OR($I23="Hecha",$I23="Cancelada"),"-",$H23-TODAY()))</f>
        <v/>
      </c>
      <c r="K23" s="29" t="str">
        <f aca="true">IF($B23="","",IF($I23="Hecha","Hecha",IF($I23="Cancelada","Cancelada",IF($I23="En espera","En espera",IF($H23="","Sin fecha",IF($H23&lt;TODAY(),"Vencida",IF($H23=TODAY(),"Hoy",IF($H23-TODAY()&lt;=7,"Esta semana","Más adelante"))))))))</f>
        <v/>
      </c>
      <c r="L23" s="27"/>
      <c r="M23" s="27"/>
      <c r="N23" s="28"/>
      <c r="O23" s="30" t="str">
        <f aca="false">IF($B23="","",IF(OR($K23="Vencida",$K23="Hoy"),COUNTIF($K$7:$K23,"Vencida")+COUNTIF($K$7:$K23,"Hoy"),""))</f>
        <v/>
      </c>
      <c r="P23" s="30" t="str">
        <f aca="false">IF(OR($B23="",$H23="",$I23="Hecha",$I23="Cancelada"),"",TEXT($H23,"yyyymmdd")&amp;"-"&amp;COUNTIFS($H$7:$H23,$H23,$I$7:$I23,"&lt;&gt;Hecha",$I$7:$I23,"&lt;&gt;Cancelada"))</f>
        <v/>
      </c>
    </row>
    <row r="24" customFormat="false" ht="15" hidden="false" customHeight="false" outlineLevel="0" collapsed="false">
      <c r="A24" s="25" t="str">
        <f aca="false">IF($B24="","",ROW()-6)</f>
        <v/>
      </c>
      <c r="B24" s="27"/>
      <c r="C24" s="27"/>
      <c r="D24" s="27"/>
      <c r="E24" s="27"/>
      <c r="F24" s="27"/>
      <c r="G24" s="27"/>
      <c r="H24" s="28"/>
      <c r="I24" s="27"/>
      <c r="J24" s="25" t="str">
        <f aca="true">IF(OR($B24="",$H24=""),"",IF(OR($I24="Hecha",$I24="Cancelada"),"-",$H24-TODAY()))</f>
        <v/>
      </c>
      <c r="K24" s="31" t="str">
        <f aca="true">IF($B24="","",IF($I24="Hecha","Hecha",IF($I24="Cancelada","Cancelada",IF($I24="En espera","En espera",IF($H24="","Sin fecha",IF($H24&lt;TODAY(),"Vencida",IF($H24=TODAY(),"Hoy",IF($H24-TODAY()&lt;=7,"Esta semana","Más adelante"))))))))</f>
        <v/>
      </c>
      <c r="L24" s="27"/>
      <c r="M24" s="27"/>
      <c r="N24" s="28"/>
      <c r="O24" s="30" t="str">
        <f aca="false">IF($B24="","",IF(OR($K24="Vencida",$K24="Hoy"),COUNTIF($K$7:$K24,"Vencida")+COUNTIF($K$7:$K24,"Hoy"),""))</f>
        <v/>
      </c>
      <c r="P24" s="30" t="str">
        <f aca="false">IF(OR($B24="",$H24="",$I24="Hecha",$I24="Cancelada"),"",TEXT($H24,"yyyymmdd")&amp;"-"&amp;COUNTIFS($H$7:$H24,$H24,$I$7:$I24,"&lt;&gt;Hecha",$I$7:$I24,"&lt;&gt;Cancelada"))</f>
        <v/>
      </c>
    </row>
    <row r="25" customFormat="false" ht="15" hidden="false" customHeight="false" outlineLevel="0" collapsed="false">
      <c r="A25" s="23" t="str">
        <f aca="false">IF($B25="","",ROW()-6)</f>
        <v/>
      </c>
      <c r="B25" s="27"/>
      <c r="C25" s="27"/>
      <c r="D25" s="27"/>
      <c r="E25" s="27"/>
      <c r="F25" s="27"/>
      <c r="G25" s="27"/>
      <c r="H25" s="28"/>
      <c r="I25" s="27"/>
      <c r="J25" s="23" t="str">
        <f aca="true">IF(OR($B25="",$H25=""),"",IF(OR($I25="Hecha",$I25="Cancelada"),"-",$H25-TODAY()))</f>
        <v/>
      </c>
      <c r="K25" s="29" t="str">
        <f aca="true">IF($B25="","",IF($I25="Hecha","Hecha",IF($I25="Cancelada","Cancelada",IF($I25="En espera","En espera",IF($H25="","Sin fecha",IF($H25&lt;TODAY(),"Vencida",IF($H25=TODAY(),"Hoy",IF($H25-TODAY()&lt;=7,"Esta semana","Más adelante"))))))))</f>
        <v/>
      </c>
      <c r="L25" s="27"/>
      <c r="M25" s="27"/>
      <c r="N25" s="28"/>
      <c r="O25" s="30" t="str">
        <f aca="false">IF($B25="","",IF(OR($K25="Vencida",$K25="Hoy"),COUNTIF($K$7:$K25,"Vencida")+COUNTIF($K$7:$K25,"Hoy"),""))</f>
        <v/>
      </c>
      <c r="P25" s="30" t="str">
        <f aca="false">IF(OR($B25="",$H25="",$I25="Hecha",$I25="Cancelada"),"",TEXT($H25,"yyyymmdd")&amp;"-"&amp;COUNTIFS($H$7:$H25,$H25,$I$7:$I25,"&lt;&gt;Hecha",$I$7:$I25,"&lt;&gt;Cancelada"))</f>
        <v/>
      </c>
    </row>
    <row r="26" customFormat="false" ht="15" hidden="false" customHeight="false" outlineLevel="0" collapsed="false">
      <c r="A26" s="25" t="str">
        <f aca="false">IF($B26="","",ROW()-6)</f>
        <v/>
      </c>
      <c r="B26" s="27"/>
      <c r="C26" s="27"/>
      <c r="D26" s="27"/>
      <c r="E26" s="27"/>
      <c r="F26" s="27"/>
      <c r="G26" s="27"/>
      <c r="H26" s="28"/>
      <c r="I26" s="27"/>
      <c r="J26" s="25" t="str">
        <f aca="true">IF(OR($B26="",$H26=""),"",IF(OR($I26="Hecha",$I26="Cancelada"),"-",$H26-TODAY()))</f>
        <v/>
      </c>
      <c r="K26" s="31" t="str">
        <f aca="true">IF($B26="","",IF($I26="Hecha","Hecha",IF($I26="Cancelada","Cancelada",IF($I26="En espera","En espera",IF($H26="","Sin fecha",IF($H26&lt;TODAY(),"Vencida",IF($H26=TODAY(),"Hoy",IF($H26-TODAY()&lt;=7,"Esta semana","Más adelante"))))))))</f>
        <v/>
      </c>
      <c r="L26" s="27"/>
      <c r="M26" s="27"/>
      <c r="N26" s="28"/>
      <c r="O26" s="30" t="str">
        <f aca="false">IF($B26="","",IF(OR($K26="Vencida",$K26="Hoy"),COUNTIF($K$7:$K26,"Vencida")+COUNTIF($K$7:$K26,"Hoy"),""))</f>
        <v/>
      </c>
      <c r="P26" s="30" t="str">
        <f aca="false">IF(OR($B26="",$H26="",$I26="Hecha",$I26="Cancelada"),"",TEXT($H26,"yyyymmdd")&amp;"-"&amp;COUNTIFS($H$7:$H26,$H26,$I$7:$I26,"&lt;&gt;Hecha",$I$7:$I26,"&lt;&gt;Cancelada"))</f>
        <v/>
      </c>
    </row>
    <row r="27" customFormat="false" ht="15" hidden="false" customHeight="false" outlineLevel="0" collapsed="false">
      <c r="A27" s="23" t="str">
        <f aca="false">IF($B27="","",ROW()-6)</f>
        <v/>
      </c>
      <c r="B27" s="27"/>
      <c r="C27" s="27"/>
      <c r="D27" s="27"/>
      <c r="E27" s="27"/>
      <c r="F27" s="27"/>
      <c r="G27" s="27"/>
      <c r="H27" s="28"/>
      <c r="I27" s="27"/>
      <c r="J27" s="23" t="str">
        <f aca="true">IF(OR($B27="",$H27=""),"",IF(OR($I27="Hecha",$I27="Cancelada"),"-",$H27-TODAY()))</f>
        <v/>
      </c>
      <c r="K27" s="29" t="str">
        <f aca="true">IF($B27="","",IF($I27="Hecha","Hecha",IF($I27="Cancelada","Cancelada",IF($I27="En espera","En espera",IF($H27="","Sin fecha",IF($H27&lt;TODAY(),"Vencida",IF($H27=TODAY(),"Hoy",IF($H27-TODAY()&lt;=7,"Esta semana","Más adelante"))))))))</f>
        <v/>
      </c>
      <c r="L27" s="27"/>
      <c r="M27" s="27"/>
      <c r="N27" s="28"/>
      <c r="O27" s="30" t="str">
        <f aca="false">IF($B27="","",IF(OR($K27="Vencida",$K27="Hoy"),COUNTIF($K$7:$K27,"Vencida")+COUNTIF($K$7:$K27,"Hoy"),""))</f>
        <v/>
      </c>
      <c r="P27" s="30" t="str">
        <f aca="false">IF(OR($B27="",$H27="",$I27="Hecha",$I27="Cancelada"),"",TEXT($H27,"yyyymmdd")&amp;"-"&amp;COUNTIFS($H$7:$H27,$H27,$I$7:$I27,"&lt;&gt;Hecha",$I$7:$I27,"&lt;&gt;Cancelada"))</f>
        <v/>
      </c>
    </row>
    <row r="28" customFormat="false" ht="15" hidden="false" customHeight="false" outlineLevel="0" collapsed="false">
      <c r="A28" s="25" t="str">
        <f aca="false">IF($B28="","",ROW()-6)</f>
        <v/>
      </c>
      <c r="B28" s="27"/>
      <c r="C28" s="27"/>
      <c r="D28" s="27"/>
      <c r="E28" s="27"/>
      <c r="F28" s="27"/>
      <c r="G28" s="27"/>
      <c r="H28" s="28"/>
      <c r="I28" s="27"/>
      <c r="J28" s="25" t="str">
        <f aca="true">IF(OR($B28="",$H28=""),"",IF(OR($I28="Hecha",$I28="Cancelada"),"-",$H28-TODAY()))</f>
        <v/>
      </c>
      <c r="K28" s="31" t="str">
        <f aca="true">IF($B28="","",IF($I28="Hecha","Hecha",IF($I28="Cancelada","Cancelada",IF($I28="En espera","En espera",IF($H28="","Sin fecha",IF($H28&lt;TODAY(),"Vencida",IF($H28=TODAY(),"Hoy",IF($H28-TODAY()&lt;=7,"Esta semana","Más adelante"))))))))</f>
        <v/>
      </c>
      <c r="L28" s="27"/>
      <c r="M28" s="27"/>
      <c r="N28" s="28"/>
      <c r="O28" s="30" t="str">
        <f aca="false">IF($B28="","",IF(OR($K28="Vencida",$K28="Hoy"),COUNTIF($K$7:$K28,"Vencida")+COUNTIF($K$7:$K28,"Hoy"),""))</f>
        <v/>
      </c>
      <c r="P28" s="30" t="str">
        <f aca="false">IF(OR($B28="",$H28="",$I28="Hecha",$I28="Cancelada"),"",TEXT($H28,"yyyymmdd")&amp;"-"&amp;COUNTIFS($H$7:$H28,$H28,$I$7:$I28,"&lt;&gt;Hecha",$I$7:$I28,"&lt;&gt;Cancelada"))</f>
        <v/>
      </c>
    </row>
    <row r="29" customFormat="false" ht="15" hidden="false" customHeight="false" outlineLevel="0" collapsed="false">
      <c r="A29" s="23" t="str">
        <f aca="false">IF($B29="","",ROW()-6)</f>
        <v/>
      </c>
      <c r="B29" s="27"/>
      <c r="C29" s="27"/>
      <c r="D29" s="27"/>
      <c r="E29" s="27"/>
      <c r="F29" s="27"/>
      <c r="G29" s="27"/>
      <c r="H29" s="28"/>
      <c r="I29" s="27"/>
      <c r="J29" s="23" t="str">
        <f aca="true">IF(OR($B29="",$H29=""),"",IF(OR($I29="Hecha",$I29="Cancelada"),"-",$H29-TODAY()))</f>
        <v/>
      </c>
      <c r="K29" s="29" t="str">
        <f aca="true">IF($B29="","",IF($I29="Hecha","Hecha",IF($I29="Cancelada","Cancelada",IF($I29="En espera","En espera",IF($H29="","Sin fecha",IF($H29&lt;TODAY(),"Vencida",IF($H29=TODAY(),"Hoy",IF($H29-TODAY()&lt;=7,"Esta semana","Más adelante"))))))))</f>
        <v/>
      </c>
      <c r="L29" s="27"/>
      <c r="M29" s="27"/>
      <c r="N29" s="28"/>
      <c r="O29" s="30" t="str">
        <f aca="false">IF($B29="","",IF(OR($K29="Vencida",$K29="Hoy"),COUNTIF($K$7:$K29,"Vencida")+COUNTIF($K$7:$K29,"Hoy"),""))</f>
        <v/>
      </c>
      <c r="P29" s="30" t="str">
        <f aca="false">IF(OR($B29="",$H29="",$I29="Hecha",$I29="Cancelada"),"",TEXT($H29,"yyyymmdd")&amp;"-"&amp;COUNTIFS($H$7:$H29,$H29,$I$7:$I29,"&lt;&gt;Hecha",$I$7:$I29,"&lt;&gt;Cancelada"))</f>
        <v/>
      </c>
    </row>
    <row r="30" customFormat="false" ht="15" hidden="false" customHeight="false" outlineLevel="0" collapsed="false">
      <c r="A30" s="25" t="str">
        <f aca="false">IF($B30="","",ROW()-6)</f>
        <v/>
      </c>
      <c r="B30" s="27"/>
      <c r="C30" s="27"/>
      <c r="D30" s="27"/>
      <c r="E30" s="27"/>
      <c r="F30" s="27"/>
      <c r="G30" s="27"/>
      <c r="H30" s="28"/>
      <c r="I30" s="27"/>
      <c r="J30" s="25" t="str">
        <f aca="true">IF(OR($B30="",$H30=""),"",IF(OR($I30="Hecha",$I30="Cancelada"),"-",$H30-TODAY()))</f>
        <v/>
      </c>
      <c r="K30" s="31" t="str">
        <f aca="true">IF($B30="","",IF($I30="Hecha","Hecha",IF($I30="Cancelada","Cancelada",IF($I30="En espera","En espera",IF($H30="","Sin fecha",IF($H30&lt;TODAY(),"Vencida",IF($H30=TODAY(),"Hoy",IF($H30-TODAY()&lt;=7,"Esta semana","Más adelante"))))))))</f>
        <v/>
      </c>
      <c r="L30" s="27"/>
      <c r="M30" s="27"/>
      <c r="N30" s="28"/>
      <c r="O30" s="30" t="str">
        <f aca="false">IF($B30="","",IF(OR($K30="Vencida",$K30="Hoy"),COUNTIF($K$7:$K30,"Vencida")+COUNTIF($K$7:$K30,"Hoy"),""))</f>
        <v/>
      </c>
      <c r="P30" s="30" t="str">
        <f aca="false">IF(OR($B30="",$H30="",$I30="Hecha",$I30="Cancelada"),"",TEXT($H30,"yyyymmdd")&amp;"-"&amp;COUNTIFS($H$7:$H30,$H30,$I$7:$I30,"&lt;&gt;Hecha",$I$7:$I30,"&lt;&gt;Cancelada"))</f>
        <v/>
      </c>
    </row>
    <row r="31" customFormat="false" ht="15" hidden="false" customHeight="false" outlineLevel="0" collapsed="false">
      <c r="A31" s="23" t="str">
        <f aca="false">IF($B31="","",ROW()-6)</f>
        <v/>
      </c>
      <c r="B31" s="27"/>
      <c r="C31" s="27"/>
      <c r="D31" s="27"/>
      <c r="E31" s="27"/>
      <c r="F31" s="27"/>
      <c r="G31" s="27"/>
      <c r="H31" s="28"/>
      <c r="I31" s="27"/>
      <c r="J31" s="23" t="str">
        <f aca="true">IF(OR($B31="",$H31=""),"",IF(OR($I31="Hecha",$I31="Cancelada"),"-",$H31-TODAY()))</f>
        <v/>
      </c>
      <c r="K31" s="29" t="str">
        <f aca="true">IF($B31="","",IF($I31="Hecha","Hecha",IF($I31="Cancelada","Cancelada",IF($I31="En espera","En espera",IF($H31="","Sin fecha",IF($H31&lt;TODAY(),"Vencida",IF($H31=TODAY(),"Hoy",IF($H31-TODAY()&lt;=7,"Esta semana","Más adelante"))))))))</f>
        <v/>
      </c>
      <c r="L31" s="27"/>
      <c r="M31" s="27"/>
      <c r="N31" s="28"/>
      <c r="O31" s="30" t="str">
        <f aca="false">IF($B31="","",IF(OR($K31="Vencida",$K31="Hoy"),COUNTIF($K$7:$K31,"Vencida")+COUNTIF($K$7:$K31,"Hoy"),""))</f>
        <v/>
      </c>
      <c r="P31" s="30" t="str">
        <f aca="false">IF(OR($B31="",$H31="",$I31="Hecha",$I31="Cancelada"),"",TEXT($H31,"yyyymmdd")&amp;"-"&amp;COUNTIFS($H$7:$H31,$H31,$I$7:$I31,"&lt;&gt;Hecha",$I$7:$I31,"&lt;&gt;Cancelada"))</f>
        <v/>
      </c>
    </row>
    <row r="32" customFormat="false" ht="15" hidden="false" customHeight="false" outlineLevel="0" collapsed="false">
      <c r="A32" s="25" t="str">
        <f aca="false">IF($B32="","",ROW()-6)</f>
        <v/>
      </c>
      <c r="B32" s="27"/>
      <c r="C32" s="27"/>
      <c r="D32" s="27"/>
      <c r="E32" s="27"/>
      <c r="F32" s="27"/>
      <c r="G32" s="27"/>
      <c r="H32" s="28"/>
      <c r="I32" s="27"/>
      <c r="J32" s="25" t="str">
        <f aca="true">IF(OR($B32="",$H32=""),"",IF(OR($I32="Hecha",$I32="Cancelada"),"-",$H32-TODAY()))</f>
        <v/>
      </c>
      <c r="K32" s="31" t="str">
        <f aca="true">IF($B32="","",IF($I32="Hecha","Hecha",IF($I32="Cancelada","Cancelada",IF($I32="En espera","En espera",IF($H32="","Sin fecha",IF($H32&lt;TODAY(),"Vencida",IF($H32=TODAY(),"Hoy",IF($H32-TODAY()&lt;=7,"Esta semana","Más adelante"))))))))</f>
        <v/>
      </c>
      <c r="L32" s="27"/>
      <c r="M32" s="27"/>
      <c r="N32" s="28"/>
      <c r="O32" s="30" t="str">
        <f aca="false">IF($B32="","",IF(OR($K32="Vencida",$K32="Hoy"),COUNTIF($K$7:$K32,"Vencida")+COUNTIF($K$7:$K32,"Hoy"),""))</f>
        <v/>
      </c>
      <c r="P32" s="30" t="str">
        <f aca="false">IF(OR($B32="",$H32="",$I32="Hecha",$I32="Cancelada"),"",TEXT($H32,"yyyymmdd")&amp;"-"&amp;COUNTIFS($H$7:$H32,$H32,$I$7:$I32,"&lt;&gt;Hecha",$I$7:$I32,"&lt;&gt;Cancelada"))</f>
        <v/>
      </c>
    </row>
    <row r="33" customFormat="false" ht="15" hidden="false" customHeight="false" outlineLevel="0" collapsed="false">
      <c r="A33" s="23" t="str">
        <f aca="false">IF($B33="","",ROW()-6)</f>
        <v/>
      </c>
      <c r="B33" s="27"/>
      <c r="C33" s="27"/>
      <c r="D33" s="27"/>
      <c r="E33" s="27"/>
      <c r="F33" s="27"/>
      <c r="G33" s="27"/>
      <c r="H33" s="28"/>
      <c r="I33" s="27"/>
      <c r="J33" s="23" t="str">
        <f aca="true">IF(OR($B33="",$H33=""),"",IF(OR($I33="Hecha",$I33="Cancelada"),"-",$H33-TODAY()))</f>
        <v/>
      </c>
      <c r="K33" s="29" t="str">
        <f aca="true">IF($B33="","",IF($I33="Hecha","Hecha",IF($I33="Cancelada","Cancelada",IF($I33="En espera","En espera",IF($H33="","Sin fecha",IF($H33&lt;TODAY(),"Vencida",IF($H33=TODAY(),"Hoy",IF($H33-TODAY()&lt;=7,"Esta semana","Más adelante"))))))))</f>
        <v/>
      </c>
      <c r="L33" s="27"/>
      <c r="M33" s="27"/>
      <c r="N33" s="28"/>
      <c r="O33" s="30" t="str">
        <f aca="false">IF($B33="","",IF(OR($K33="Vencida",$K33="Hoy"),COUNTIF($K$7:$K33,"Vencida")+COUNTIF($K$7:$K33,"Hoy"),""))</f>
        <v/>
      </c>
      <c r="P33" s="30" t="str">
        <f aca="false">IF(OR($B33="",$H33="",$I33="Hecha",$I33="Cancelada"),"",TEXT($H33,"yyyymmdd")&amp;"-"&amp;COUNTIFS($H$7:$H33,$H33,$I$7:$I33,"&lt;&gt;Hecha",$I$7:$I33,"&lt;&gt;Cancelada"))</f>
        <v/>
      </c>
    </row>
    <row r="34" customFormat="false" ht="15" hidden="false" customHeight="false" outlineLevel="0" collapsed="false">
      <c r="A34" s="25" t="str">
        <f aca="false">IF($B34="","",ROW()-6)</f>
        <v/>
      </c>
      <c r="B34" s="27"/>
      <c r="C34" s="27"/>
      <c r="D34" s="27"/>
      <c r="E34" s="27"/>
      <c r="F34" s="27"/>
      <c r="G34" s="27"/>
      <c r="H34" s="28"/>
      <c r="I34" s="27"/>
      <c r="J34" s="25" t="str">
        <f aca="true">IF(OR($B34="",$H34=""),"",IF(OR($I34="Hecha",$I34="Cancelada"),"-",$H34-TODAY()))</f>
        <v/>
      </c>
      <c r="K34" s="31" t="str">
        <f aca="true">IF($B34="","",IF($I34="Hecha","Hecha",IF($I34="Cancelada","Cancelada",IF($I34="En espera","En espera",IF($H34="","Sin fecha",IF($H34&lt;TODAY(),"Vencida",IF($H34=TODAY(),"Hoy",IF($H34-TODAY()&lt;=7,"Esta semana","Más adelante"))))))))</f>
        <v/>
      </c>
      <c r="L34" s="27"/>
      <c r="M34" s="27"/>
      <c r="N34" s="28"/>
      <c r="O34" s="30" t="str">
        <f aca="false">IF($B34="","",IF(OR($K34="Vencida",$K34="Hoy"),COUNTIF($K$7:$K34,"Vencida")+COUNTIF($K$7:$K34,"Hoy"),""))</f>
        <v/>
      </c>
      <c r="P34" s="30" t="str">
        <f aca="false">IF(OR($B34="",$H34="",$I34="Hecha",$I34="Cancelada"),"",TEXT($H34,"yyyymmdd")&amp;"-"&amp;COUNTIFS($H$7:$H34,$H34,$I$7:$I34,"&lt;&gt;Hecha",$I$7:$I34,"&lt;&gt;Cancelada"))</f>
        <v/>
      </c>
    </row>
    <row r="35" customFormat="false" ht="15" hidden="false" customHeight="false" outlineLevel="0" collapsed="false">
      <c r="A35" s="23" t="str">
        <f aca="false">IF($B35="","",ROW()-6)</f>
        <v/>
      </c>
      <c r="B35" s="27"/>
      <c r="C35" s="27"/>
      <c r="D35" s="27"/>
      <c r="E35" s="27"/>
      <c r="F35" s="27"/>
      <c r="G35" s="27"/>
      <c r="H35" s="28"/>
      <c r="I35" s="27"/>
      <c r="J35" s="23" t="str">
        <f aca="true">IF(OR($B35="",$H35=""),"",IF(OR($I35="Hecha",$I35="Cancelada"),"-",$H35-TODAY()))</f>
        <v/>
      </c>
      <c r="K35" s="29" t="str">
        <f aca="true">IF($B35="","",IF($I35="Hecha","Hecha",IF($I35="Cancelada","Cancelada",IF($I35="En espera","En espera",IF($H35="","Sin fecha",IF($H35&lt;TODAY(),"Vencida",IF($H35=TODAY(),"Hoy",IF($H35-TODAY()&lt;=7,"Esta semana","Más adelante"))))))))</f>
        <v/>
      </c>
      <c r="L35" s="27"/>
      <c r="M35" s="27"/>
      <c r="N35" s="28"/>
      <c r="O35" s="30" t="str">
        <f aca="false">IF($B35="","",IF(OR($K35="Vencida",$K35="Hoy"),COUNTIF($K$7:$K35,"Vencida")+COUNTIF($K$7:$K35,"Hoy"),""))</f>
        <v/>
      </c>
      <c r="P35" s="30" t="str">
        <f aca="false">IF(OR($B35="",$H35="",$I35="Hecha",$I35="Cancelada"),"",TEXT($H35,"yyyymmdd")&amp;"-"&amp;COUNTIFS($H$7:$H35,$H35,$I$7:$I35,"&lt;&gt;Hecha",$I$7:$I35,"&lt;&gt;Cancelada"))</f>
        <v/>
      </c>
    </row>
    <row r="36" customFormat="false" ht="15" hidden="false" customHeight="false" outlineLevel="0" collapsed="false">
      <c r="A36" s="25" t="str">
        <f aca="false">IF($B36="","",ROW()-6)</f>
        <v/>
      </c>
      <c r="B36" s="27"/>
      <c r="C36" s="27"/>
      <c r="D36" s="27"/>
      <c r="E36" s="27"/>
      <c r="F36" s="27"/>
      <c r="G36" s="27"/>
      <c r="H36" s="28"/>
      <c r="I36" s="27"/>
      <c r="J36" s="25" t="str">
        <f aca="true">IF(OR($B36="",$H36=""),"",IF(OR($I36="Hecha",$I36="Cancelada"),"-",$H36-TODAY()))</f>
        <v/>
      </c>
      <c r="K36" s="31" t="str">
        <f aca="true">IF($B36="","",IF($I36="Hecha","Hecha",IF($I36="Cancelada","Cancelada",IF($I36="En espera","En espera",IF($H36="","Sin fecha",IF($H36&lt;TODAY(),"Vencida",IF($H36=TODAY(),"Hoy",IF($H36-TODAY()&lt;=7,"Esta semana","Más adelante"))))))))</f>
        <v/>
      </c>
      <c r="L36" s="27"/>
      <c r="M36" s="27"/>
      <c r="N36" s="28"/>
      <c r="O36" s="30" t="str">
        <f aca="false">IF($B36="","",IF(OR($K36="Vencida",$K36="Hoy"),COUNTIF($K$7:$K36,"Vencida")+COUNTIF($K$7:$K36,"Hoy"),""))</f>
        <v/>
      </c>
      <c r="P36" s="30" t="str">
        <f aca="false">IF(OR($B36="",$H36="",$I36="Hecha",$I36="Cancelada"),"",TEXT($H36,"yyyymmdd")&amp;"-"&amp;COUNTIFS($H$7:$H36,$H36,$I$7:$I36,"&lt;&gt;Hecha",$I$7:$I36,"&lt;&gt;Cancelada"))</f>
        <v/>
      </c>
    </row>
    <row r="37" customFormat="false" ht="15" hidden="false" customHeight="false" outlineLevel="0" collapsed="false">
      <c r="A37" s="23" t="str">
        <f aca="false">IF($B37="","",ROW()-6)</f>
        <v/>
      </c>
      <c r="B37" s="27"/>
      <c r="C37" s="27"/>
      <c r="D37" s="27"/>
      <c r="E37" s="27"/>
      <c r="F37" s="27"/>
      <c r="G37" s="27"/>
      <c r="H37" s="28"/>
      <c r="I37" s="27"/>
      <c r="J37" s="23" t="str">
        <f aca="true">IF(OR($B37="",$H37=""),"",IF(OR($I37="Hecha",$I37="Cancelada"),"-",$H37-TODAY()))</f>
        <v/>
      </c>
      <c r="K37" s="29" t="str">
        <f aca="true">IF($B37="","",IF($I37="Hecha","Hecha",IF($I37="Cancelada","Cancelada",IF($I37="En espera","En espera",IF($H37="","Sin fecha",IF($H37&lt;TODAY(),"Vencida",IF($H37=TODAY(),"Hoy",IF($H37-TODAY()&lt;=7,"Esta semana","Más adelante"))))))))</f>
        <v/>
      </c>
      <c r="L37" s="27"/>
      <c r="M37" s="27"/>
      <c r="N37" s="28"/>
      <c r="O37" s="30" t="str">
        <f aca="false">IF($B37="","",IF(OR($K37="Vencida",$K37="Hoy"),COUNTIF($K$7:$K37,"Vencida")+COUNTIF($K$7:$K37,"Hoy"),""))</f>
        <v/>
      </c>
      <c r="P37" s="30" t="str">
        <f aca="false">IF(OR($B37="",$H37="",$I37="Hecha",$I37="Cancelada"),"",TEXT($H37,"yyyymmdd")&amp;"-"&amp;COUNTIFS($H$7:$H37,$H37,$I$7:$I37,"&lt;&gt;Hecha",$I$7:$I37,"&lt;&gt;Cancelada"))</f>
        <v/>
      </c>
    </row>
    <row r="38" customFormat="false" ht="15" hidden="false" customHeight="false" outlineLevel="0" collapsed="false">
      <c r="A38" s="25" t="str">
        <f aca="false">IF($B38="","",ROW()-6)</f>
        <v/>
      </c>
      <c r="B38" s="27"/>
      <c r="C38" s="27"/>
      <c r="D38" s="27"/>
      <c r="E38" s="27"/>
      <c r="F38" s="27"/>
      <c r="G38" s="27"/>
      <c r="H38" s="28"/>
      <c r="I38" s="27"/>
      <c r="J38" s="25" t="str">
        <f aca="true">IF(OR($B38="",$H38=""),"",IF(OR($I38="Hecha",$I38="Cancelada"),"-",$H38-TODAY()))</f>
        <v/>
      </c>
      <c r="K38" s="31" t="str">
        <f aca="true">IF($B38="","",IF($I38="Hecha","Hecha",IF($I38="Cancelada","Cancelada",IF($I38="En espera","En espera",IF($H38="","Sin fecha",IF($H38&lt;TODAY(),"Vencida",IF($H38=TODAY(),"Hoy",IF($H38-TODAY()&lt;=7,"Esta semana","Más adelante"))))))))</f>
        <v/>
      </c>
      <c r="L38" s="27"/>
      <c r="M38" s="27"/>
      <c r="N38" s="28"/>
      <c r="O38" s="30" t="str">
        <f aca="false">IF($B38="","",IF(OR($K38="Vencida",$K38="Hoy"),COUNTIF($K$7:$K38,"Vencida")+COUNTIF($K$7:$K38,"Hoy"),""))</f>
        <v/>
      </c>
      <c r="P38" s="30" t="str">
        <f aca="false">IF(OR($B38="",$H38="",$I38="Hecha",$I38="Cancelada"),"",TEXT($H38,"yyyymmdd")&amp;"-"&amp;COUNTIFS($H$7:$H38,$H38,$I$7:$I38,"&lt;&gt;Hecha",$I$7:$I38,"&lt;&gt;Cancelada"))</f>
        <v/>
      </c>
    </row>
    <row r="39" customFormat="false" ht="15" hidden="false" customHeight="false" outlineLevel="0" collapsed="false">
      <c r="A39" s="23" t="str">
        <f aca="false">IF($B39="","",ROW()-6)</f>
        <v/>
      </c>
      <c r="B39" s="27"/>
      <c r="C39" s="27"/>
      <c r="D39" s="27"/>
      <c r="E39" s="27"/>
      <c r="F39" s="27"/>
      <c r="G39" s="27"/>
      <c r="H39" s="28"/>
      <c r="I39" s="27"/>
      <c r="J39" s="23" t="str">
        <f aca="true">IF(OR($B39="",$H39=""),"",IF(OR($I39="Hecha",$I39="Cancelada"),"-",$H39-TODAY()))</f>
        <v/>
      </c>
      <c r="K39" s="29" t="str">
        <f aca="true">IF($B39="","",IF($I39="Hecha","Hecha",IF($I39="Cancelada","Cancelada",IF($I39="En espera","En espera",IF($H39="","Sin fecha",IF($H39&lt;TODAY(),"Vencida",IF($H39=TODAY(),"Hoy",IF($H39-TODAY()&lt;=7,"Esta semana","Más adelante"))))))))</f>
        <v/>
      </c>
      <c r="L39" s="27"/>
      <c r="M39" s="27"/>
      <c r="N39" s="28"/>
      <c r="O39" s="30" t="str">
        <f aca="false">IF($B39="","",IF(OR($K39="Vencida",$K39="Hoy"),COUNTIF($K$7:$K39,"Vencida")+COUNTIF($K$7:$K39,"Hoy"),""))</f>
        <v/>
      </c>
      <c r="P39" s="30" t="str">
        <f aca="false">IF(OR($B39="",$H39="",$I39="Hecha",$I39="Cancelada"),"",TEXT($H39,"yyyymmdd")&amp;"-"&amp;COUNTIFS($H$7:$H39,$H39,$I$7:$I39,"&lt;&gt;Hecha",$I$7:$I39,"&lt;&gt;Cancelada"))</f>
        <v/>
      </c>
    </row>
    <row r="40" customFormat="false" ht="15" hidden="false" customHeight="false" outlineLevel="0" collapsed="false">
      <c r="A40" s="25" t="str">
        <f aca="false">IF($B40="","",ROW()-6)</f>
        <v/>
      </c>
      <c r="B40" s="27"/>
      <c r="C40" s="27"/>
      <c r="D40" s="27"/>
      <c r="E40" s="27"/>
      <c r="F40" s="27"/>
      <c r="G40" s="27"/>
      <c r="H40" s="28"/>
      <c r="I40" s="27"/>
      <c r="J40" s="25" t="str">
        <f aca="true">IF(OR($B40="",$H40=""),"",IF(OR($I40="Hecha",$I40="Cancelada"),"-",$H40-TODAY()))</f>
        <v/>
      </c>
      <c r="K40" s="31" t="str">
        <f aca="true">IF($B40="","",IF($I40="Hecha","Hecha",IF($I40="Cancelada","Cancelada",IF($I40="En espera","En espera",IF($H40="","Sin fecha",IF($H40&lt;TODAY(),"Vencida",IF($H40=TODAY(),"Hoy",IF($H40-TODAY()&lt;=7,"Esta semana","Más adelante"))))))))</f>
        <v/>
      </c>
      <c r="L40" s="27"/>
      <c r="M40" s="27"/>
      <c r="N40" s="28"/>
      <c r="O40" s="30" t="str">
        <f aca="false">IF($B40="","",IF(OR($K40="Vencida",$K40="Hoy"),COUNTIF($K$7:$K40,"Vencida")+COUNTIF($K$7:$K40,"Hoy"),""))</f>
        <v/>
      </c>
      <c r="P40" s="30" t="str">
        <f aca="false">IF(OR($B40="",$H40="",$I40="Hecha",$I40="Cancelada"),"",TEXT($H40,"yyyymmdd")&amp;"-"&amp;COUNTIFS($H$7:$H40,$H40,$I$7:$I40,"&lt;&gt;Hecha",$I$7:$I40,"&lt;&gt;Cancelada"))</f>
        <v/>
      </c>
    </row>
    <row r="41" customFormat="false" ht="15" hidden="false" customHeight="false" outlineLevel="0" collapsed="false">
      <c r="A41" s="23" t="str">
        <f aca="false">IF($B41="","",ROW()-6)</f>
        <v/>
      </c>
      <c r="B41" s="27"/>
      <c r="C41" s="27"/>
      <c r="D41" s="27"/>
      <c r="E41" s="27"/>
      <c r="F41" s="27"/>
      <c r="G41" s="27"/>
      <c r="H41" s="28"/>
      <c r="I41" s="27"/>
      <c r="J41" s="23" t="str">
        <f aca="true">IF(OR($B41="",$H41=""),"",IF(OR($I41="Hecha",$I41="Cancelada"),"-",$H41-TODAY()))</f>
        <v/>
      </c>
      <c r="K41" s="29" t="str">
        <f aca="true">IF($B41="","",IF($I41="Hecha","Hecha",IF($I41="Cancelada","Cancelada",IF($I41="En espera","En espera",IF($H41="","Sin fecha",IF($H41&lt;TODAY(),"Vencida",IF($H41=TODAY(),"Hoy",IF($H41-TODAY()&lt;=7,"Esta semana","Más adelante"))))))))</f>
        <v/>
      </c>
      <c r="L41" s="27"/>
      <c r="M41" s="27"/>
      <c r="N41" s="28"/>
      <c r="O41" s="30" t="str">
        <f aca="false">IF($B41="","",IF(OR($K41="Vencida",$K41="Hoy"),COUNTIF($K$7:$K41,"Vencida")+COUNTIF($K$7:$K41,"Hoy"),""))</f>
        <v/>
      </c>
      <c r="P41" s="30" t="str">
        <f aca="false">IF(OR($B41="",$H41="",$I41="Hecha",$I41="Cancelada"),"",TEXT($H41,"yyyymmdd")&amp;"-"&amp;COUNTIFS($H$7:$H41,$H41,$I$7:$I41,"&lt;&gt;Hecha",$I$7:$I41,"&lt;&gt;Cancelada"))</f>
        <v/>
      </c>
    </row>
    <row r="42" customFormat="false" ht="15" hidden="false" customHeight="false" outlineLevel="0" collapsed="false">
      <c r="A42" s="25" t="str">
        <f aca="false">IF($B42="","",ROW()-6)</f>
        <v/>
      </c>
      <c r="B42" s="27"/>
      <c r="C42" s="27"/>
      <c r="D42" s="27"/>
      <c r="E42" s="27"/>
      <c r="F42" s="27"/>
      <c r="G42" s="27"/>
      <c r="H42" s="28"/>
      <c r="I42" s="27"/>
      <c r="J42" s="25" t="str">
        <f aca="true">IF(OR($B42="",$H42=""),"",IF(OR($I42="Hecha",$I42="Cancelada"),"-",$H42-TODAY()))</f>
        <v/>
      </c>
      <c r="K42" s="31" t="str">
        <f aca="true">IF($B42="","",IF($I42="Hecha","Hecha",IF($I42="Cancelada","Cancelada",IF($I42="En espera","En espera",IF($H42="","Sin fecha",IF($H42&lt;TODAY(),"Vencida",IF($H42=TODAY(),"Hoy",IF($H42-TODAY()&lt;=7,"Esta semana","Más adelante"))))))))</f>
        <v/>
      </c>
      <c r="L42" s="27"/>
      <c r="M42" s="27"/>
      <c r="N42" s="28"/>
      <c r="O42" s="30" t="str">
        <f aca="false">IF($B42="","",IF(OR($K42="Vencida",$K42="Hoy"),COUNTIF($K$7:$K42,"Vencida")+COUNTIF($K$7:$K42,"Hoy"),""))</f>
        <v/>
      </c>
      <c r="P42" s="30" t="str">
        <f aca="false">IF(OR($B42="",$H42="",$I42="Hecha",$I42="Cancelada"),"",TEXT($H42,"yyyymmdd")&amp;"-"&amp;COUNTIFS($H$7:$H42,$H42,$I$7:$I42,"&lt;&gt;Hecha",$I$7:$I42,"&lt;&gt;Cancelada"))</f>
        <v/>
      </c>
    </row>
    <row r="43" customFormat="false" ht="15" hidden="false" customHeight="false" outlineLevel="0" collapsed="false">
      <c r="A43" s="23" t="str">
        <f aca="false">IF($B43="","",ROW()-6)</f>
        <v/>
      </c>
      <c r="B43" s="27"/>
      <c r="C43" s="27"/>
      <c r="D43" s="27"/>
      <c r="E43" s="27"/>
      <c r="F43" s="27"/>
      <c r="G43" s="27"/>
      <c r="H43" s="28"/>
      <c r="I43" s="27"/>
      <c r="J43" s="23" t="str">
        <f aca="true">IF(OR($B43="",$H43=""),"",IF(OR($I43="Hecha",$I43="Cancelada"),"-",$H43-TODAY()))</f>
        <v/>
      </c>
      <c r="K43" s="29" t="str">
        <f aca="true">IF($B43="","",IF($I43="Hecha","Hecha",IF($I43="Cancelada","Cancelada",IF($I43="En espera","En espera",IF($H43="","Sin fecha",IF($H43&lt;TODAY(),"Vencida",IF($H43=TODAY(),"Hoy",IF($H43-TODAY()&lt;=7,"Esta semana","Más adelante"))))))))</f>
        <v/>
      </c>
      <c r="L43" s="27"/>
      <c r="M43" s="27"/>
      <c r="N43" s="28"/>
      <c r="O43" s="30" t="str">
        <f aca="false">IF($B43="","",IF(OR($K43="Vencida",$K43="Hoy"),COUNTIF($K$7:$K43,"Vencida")+COUNTIF($K$7:$K43,"Hoy"),""))</f>
        <v/>
      </c>
      <c r="P43" s="30" t="str">
        <f aca="false">IF(OR($B43="",$H43="",$I43="Hecha",$I43="Cancelada"),"",TEXT($H43,"yyyymmdd")&amp;"-"&amp;COUNTIFS($H$7:$H43,$H43,$I$7:$I43,"&lt;&gt;Hecha",$I$7:$I43,"&lt;&gt;Cancelada"))</f>
        <v/>
      </c>
    </row>
    <row r="44" customFormat="false" ht="15" hidden="false" customHeight="false" outlineLevel="0" collapsed="false">
      <c r="A44" s="25" t="str">
        <f aca="false">IF($B44="","",ROW()-6)</f>
        <v/>
      </c>
      <c r="B44" s="27"/>
      <c r="C44" s="27"/>
      <c r="D44" s="27"/>
      <c r="E44" s="27"/>
      <c r="F44" s="27"/>
      <c r="G44" s="27"/>
      <c r="H44" s="28"/>
      <c r="I44" s="27"/>
      <c r="J44" s="25" t="str">
        <f aca="true">IF(OR($B44="",$H44=""),"",IF(OR($I44="Hecha",$I44="Cancelada"),"-",$H44-TODAY()))</f>
        <v/>
      </c>
      <c r="K44" s="31" t="str">
        <f aca="true">IF($B44="","",IF($I44="Hecha","Hecha",IF($I44="Cancelada","Cancelada",IF($I44="En espera","En espera",IF($H44="","Sin fecha",IF($H44&lt;TODAY(),"Vencida",IF($H44=TODAY(),"Hoy",IF($H44-TODAY()&lt;=7,"Esta semana","Más adelante"))))))))</f>
        <v/>
      </c>
      <c r="L44" s="27"/>
      <c r="M44" s="27"/>
      <c r="N44" s="28"/>
      <c r="O44" s="30" t="str">
        <f aca="false">IF($B44="","",IF(OR($K44="Vencida",$K44="Hoy"),COUNTIF($K$7:$K44,"Vencida")+COUNTIF($K$7:$K44,"Hoy"),""))</f>
        <v/>
      </c>
      <c r="P44" s="30" t="str">
        <f aca="false">IF(OR($B44="",$H44="",$I44="Hecha",$I44="Cancelada"),"",TEXT($H44,"yyyymmdd")&amp;"-"&amp;COUNTIFS($H$7:$H44,$H44,$I$7:$I44,"&lt;&gt;Hecha",$I$7:$I44,"&lt;&gt;Cancelada"))</f>
        <v/>
      </c>
    </row>
    <row r="45" customFormat="false" ht="15" hidden="false" customHeight="false" outlineLevel="0" collapsed="false">
      <c r="A45" s="23" t="str">
        <f aca="false">IF($B45="","",ROW()-6)</f>
        <v/>
      </c>
      <c r="B45" s="27"/>
      <c r="C45" s="27"/>
      <c r="D45" s="27"/>
      <c r="E45" s="27"/>
      <c r="F45" s="27"/>
      <c r="G45" s="27"/>
      <c r="H45" s="28"/>
      <c r="I45" s="27"/>
      <c r="J45" s="23" t="str">
        <f aca="true">IF(OR($B45="",$H45=""),"",IF(OR($I45="Hecha",$I45="Cancelada"),"-",$H45-TODAY()))</f>
        <v/>
      </c>
      <c r="K45" s="29" t="str">
        <f aca="true">IF($B45="","",IF($I45="Hecha","Hecha",IF($I45="Cancelada","Cancelada",IF($I45="En espera","En espera",IF($H45="","Sin fecha",IF($H45&lt;TODAY(),"Vencida",IF($H45=TODAY(),"Hoy",IF($H45-TODAY()&lt;=7,"Esta semana","Más adelante"))))))))</f>
        <v/>
      </c>
      <c r="L45" s="27"/>
      <c r="M45" s="27"/>
      <c r="N45" s="28"/>
      <c r="O45" s="30" t="str">
        <f aca="false">IF($B45="","",IF(OR($K45="Vencida",$K45="Hoy"),COUNTIF($K$7:$K45,"Vencida")+COUNTIF($K$7:$K45,"Hoy"),""))</f>
        <v/>
      </c>
      <c r="P45" s="30" t="str">
        <f aca="false">IF(OR($B45="",$H45="",$I45="Hecha",$I45="Cancelada"),"",TEXT($H45,"yyyymmdd")&amp;"-"&amp;COUNTIFS($H$7:$H45,$H45,$I$7:$I45,"&lt;&gt;Hecha",$I$7:$I45,"&lt;&gt;Cancelada"))</f>
        <v/>
      </c>
    </row>
    <row r="46" customFormat="false" ht="15" hidden="false" customHeight="false" outlineLevel="0" collapsed="false">
      <c r="A46" s="25" t="str">
        <f aca="false">IF($B46="","",ROW()-6)</f>
        <v/>
      </c>
      <c r="B46" s="27"/>
      <c r="C46" s="27"/>
      <c r="D46" s="27"/>
      <c r="E46" s="27"/>
      <c r="F46" s="27"/>
      <c r="G46" s="27"/>
      <c r="H46" s="28"/>
      <c r="I46" s="27"/>
      <c r="J46" s="25" t="str">
        <f aca="true">IF(OR($B46="",$H46=""),"",IF(OR($I46="Hecha",$I46="Cancelada"),"-",$H46-TODAY()))</f>
        <v/>
      </c>
      <c r="K46" s="31" t="str">
        <f aca="true">IF($B46="","",IF($I46="Hecha","Hecha",IF($I46="Cancelada","Cancelada",IF($I46="En espera","En espera",IF($H46="","Sin fecha",IF($H46&lt;TODAY(),"Vencida",IF($H46=TODAY(),"Hoy",IF($H46-TODAY()&lt;=7,"Esta semana","Más adelante"))))))))</f>
        <v/>
      </c>
      <c r="L46" s="27"/>
      <c r="M46" s="27"/>
      <c r="N46" s="28"/>
      <c r="O46" s="30" t="str">
        <f aca="false">IF($B46="","",IF(OR($K46="Vencida",$K46="Hoy"),COUNTIF($K$7:$K46,"Vencida")+COUNTIF($K$7:$K46,"Hoy"),""))</f>
        <v/>
      </c>
      <c r="P46" s="30" t="str">
        <f aca="false">IF(OR($B46="",$H46="",$I46="Hecha",$I46="Cancelada"),"",TEXT($H46,"yyyymmdd")&amp;"-"&amp;COUNTIFS($H$7:$H46,$H46,$I$7:$I46,"&lt;&gt;Hecha",$I$7:$I46,"&lt;&gt;Cancelada"))</f>
        <v/>
      </c>
    </row>
    <row r="47" customFormat="false" ht="15" hidden="false" customHeight="false" outlineLevel="0" collapsed="false">
      <c r="A47" s="23" t="str">
        <f aca="false">IF($B47="","",ROW()-6)</f>
        <v/>
      </c>
      <c r="B47" s="27"/>
      <c r="C47" s="27"/>
      <c r="D47" s="27"/>
      <c r="E47" s="27"/>
      <c r="F47" s="27"/>
      <c r="G47" s="27"/>
      <c r="H47" s="28"/>
      <c r="I47" s="27"/>
      <c r="J47" s="23" t="str">
        <f aca="true">IF(OR($B47="",$H47=""),"",IF(OR($I47="Hecha",$I47="Cancelada"),"-",$H47-TODAY()))</f>
        <v/>
      </c>
      <c r="K47" s="29" t="str">
        <f aca="true">IF($B47="","",IF($I47="Hecha","Hecha",IF($I47="Cancelada","Cancelada",IF($I47="En espera","En espera",IF($H47="","Sin fecha",IF($H47&lt;TODAY(),"Vencida",IF($H47=TODAY(),"Hoy",IF($H47-TODAY()&lt;=7,"Esta semana","Más adelante"))))))))</f>
        <v/>
      </c>
      <c r="L47" s="27"/>
      <c r="M47" s="27"/>
      <c r="N47" s="28"/>
      <c r="O47" s="30" t="str">
        <f aca="false">IF($B47="","",IF(OR($K47="Vencida",$K47="Hoy"),COUNTIF($K$7:$K47,"Vencida")+COUNTIF($K$7:$K47,"Hoy"),""))</f>
        <v/>
      </c>
      <c r="P47" s="30" t="str">
        <f aca="false">IF(OR($B47="",$H47="",$I47="Hecha",$I47="Cancelada"),"",TEXT($H47,"yyyymmdd")&amp;"-"&amp;COUNTIFS($H$7:$H47,$H47,$I$7:$I47,"&lt;&gt;Hecha",$I$7:$I47,"&lt;&gt;Cancelada"))</f>
        <v/>
      </c>
    </row>
    <row r="48" customFormat="false" ht="15" hidden="false" customHeight="false" outlineLevel="0" collapsed="false">
      <c r="A48" s="25" t="str">
        <f aca="false">IF($B48="","",ROW()-6)</f>
        <v/>
      </c>
      <c r="B48" s="27"/>
      <c r="C48" s="27"/>
      <c r="D48" s="27"/>
      <c r="E48" s="27"/>
      <c r="F48" s="27"/>
      <c r="G48" s="27"/>
      <c r="H48" s="28"/>
      <c r="I48" s="27"/>
      <c r="J48" s="25" t="str">
        <f aca="true">IF(OR($B48="",$H48=""),"",IF(OR($I48="Hecha",$I48="Cancelada"),"-",$H48-TODAY()))</f>
        <v/>
      </c>
      <c r="K48" s="31" t="str">
        <f aca="true">IF($B48="","",IF($I48="Hecha","Hecha",IF($I48="Cancelada","Cancelada",IF($I48="En espera","En espera",IF($H48="","Sin fecha",IF($H48&lt;TODAY(),"Vencida",IF($H48=TODAY(),"Hoy",IF($H48-TODAY()&lt;=7,"Esta semana","Más adelante"))))))))</f>
        <v/>
      </c>
      <c r="L48" s="27"/>
      <c r="M48" s="27"/>
      <c r="N48" s="28"/>
      <c r="O48" s="30" t="str">
        <f aca="false">IF($B48="","",IF(OR($K48="Vencida",$K48="Hoy"),COUNTIF($K$7:$K48,"Vencida")+COUNTIF($K$7:$K48,"Hoy"),""))</f>
        <v/>
      </c>
      <c r="P48" s="30" t="str">
        <f aca="false">IF(OR($B48="",$H48="",$I48="Hecha",$I48="Cancelada"),"",TEXT($H48,"yyyymmdd")&amp;"-"&amp;COUNTIFS($H$7:$H48,$H48,$I$7:$I48,"&lt;&gt;Hecha",$I$7:$I48,"&lt;&gt;Cancelada"))</f>
        <v/>
      </c>
    </row>
    <row r="49" customFormat="false" ht="15" hidden="false" customHeight="false" outlineLevel="0" collapsed="false">
      <c r="A49" s="23" t="str">
        <f aca="false">IF($B49="","",ROW()-6)</f>
        <v/>
      </c>
      <c r="B49" s="27"/>
      <c r="C49" s="27"/>
      <c r="D49" s="27"/>
      <c r="E49" s="27"/>
      <c r="F49" s="27"/>
      <c r="G49" s="27"/>
      <c r="H49" s="28"/>
      <c r="I49" s="27"/>
      <c r="J49" s="23" t="str">
        <f aca="true">IF(OR($B49="",$H49=""),"",IF(OR($I49="Hecha",$I49="Cancelada"),"-",$H49-TODAY()))</f>
        <v/>
      </c>
      <c r="K49" s="29" t="str">
        <f aca="true">IF($B49="","",IF($I49="Hecha","Hecha",IF($I49="Cancelada","Cancelada",IF($I49="En espera","En espera",IF($H49="","Sin fecha",IF($H49&lt;TODAY(),"Vencida",IF($H49=TODAY(),"Hoy",IF($H49-TODAY()&lt;=7,"Esta semana","Más adelante"))))))))</f>
        <v/>
      </c>
      <c r="L49" s="27"/>
      <c r="M49" s="27"/>
      <c r="N49" s="28"/>
      <c r="O49" s="30" t="str">
        <f aca="false">IF($B49="","",IF(OR($K49="Vencida",$K49="Hoy"),COUNTIF($K$7:$K49,"Vencida")+COUNTIF($K$7:$K49,"Hoy"),""))</f>
        <v/>
      </c>
      <c r="P49" s="30" t="str">
        <f aca="false">IF(OR($B49="",$H49="",$I49="Hecha",$I49="Cancelada"),"",TEXT($H49,"yyyymmdd")&amp;"-"&amp;COUNTIFS($H$7:$H49,$H49,$I$7:$I49,"&lt;&gt;Hecha",$I$7:$I49,"&lt;&gt;Cancelada"))</f>
        <v/>
      </c>
    </row>
    <row r="50" customFormat="false" ht="15" hidden="false" customHeight="false" outlineLevel="0" collapsed="false">
      <c r="A50" s="25" t="str">
        <f aca="false">IF($B50="","",ROW()-6)</f>
        <v/>
      </c>
      <c r="B50" s="27"/>
      <c r="C50" s="27"/>
      <c r="D50" s="27"/>
      <c r="E50" s="27"/>
      <c r="F50" s="27"/>
      <c r="G50" s="27"/>
      <c r="H50" s="28"/>
      <c r="I50" s="27"/>
      <c r="J50" s="25" t="str">
        <f aca="true">IF(OR($B50="",$H50=""),"",IF(OR($I50="Hecha",$I50="Cancelada"),"-",$H50-TODAY()))</f>
        <v/>
      </c>
      <c r="K50" s="31" t="str">
        <f aca="true">IF($B50="","",IF($I50="Hecha","Hecha",IF($I50="Cancelada","Cancelada",IF($I50="En espera","En espera",IF($H50="","Sin fecha",IF($H50&lt;TODAY(),"Vencida",IF($H50=TODAY(),"Hoy",IF($H50-TODAY()&lt;=7,"Esta semana","Más adelante"))))))))</f>
        <v/>
      </c>
      <c r="L50" s="27"/>
      <c r="M50" s="27"/>
      <c r="N50" s="28"/>
      <c r="O50" s="30" t="str">
        <f aca="false">IF($B50="","",IF(OR($K50="Vencida",$K50="Hoy"),COUNTIF($K$7:$K50,"Vencida")+COUNTIF($K$7:$K50,"Hoy"),""))</f>
        <v/>
      </c>
      <c r="P50" s="30" t="str">
        <f aca="false">IF(OR($B50="",$H50="",$I50="Hecha",$I50="Cancelada"),"",TEXT($H50,"yyyymmdd")&amp;"-"&amp;COUNTIFS($H$7:$H50,$H50,$I$7:$I50,"&lt;&gt;Hecha",$I$7:$I50,"&lt;&gt;Cancelada"))</f>
        <v/>
      </c>
    </row>
    <row r="51" customFormat="false" ht="15" hidden="false" customHeight="false" outlineLevel="0" collapsed="false">
      <c r="A51" s="23" t="str">
        <f aca="false">IF($B51="","",ROW()-6)</f>
        <v/>
      </c>
      <c r="B51" s="27"/>
      <c r="C51" s="27"/>
      <c r="D51" s="27"/>
      <c r="E51" s="27"/>
      <c r="F51" s="27"/>
      <c r="G51" s="27"/>
      <c r="H51" s="28"/>
      <c r="I51" s="27"/>
      <c r="J51" s="23" t="str">
        <f aca="true">IF(OR($B51="",$H51=""),"",IF(OR($I51="Hecha",$I51="Cancelada"),"-",$H51-TODAY()))</f>
        <v/>
      </c>
      <c r="K51" s="29" t="str">
        <f aca="true">IF($B51="","",IF($I51="Hecha","Hecha",IF($I51="Cancelada","Cancelada",IF($I51="En espera","En espera",IF($H51="","Sin fecha",IF($H51&lt;TODAY(),"Vencida",IF($H51=TODAY(),"Hoy",IF($H51-TODAY()&lt;=7,"Esta semana","Más adelante"))))))))</f>
        <v/>
      </c>
      <c r="L51" s="27"/>
      <c r="M51" s="27"/>
      <c r="N51" s="28"/>
      <c r="O51" s="30" t="str">
        <f aca="false">IF($B51="","",IF(OR($K51="Vencida",$K51="Hoy"),COUNTIF($K$7:$K51,"Vencida")+COUNTIF($K$7:$K51,"Hoy"),""))</f>
        <v/>
      </c>
      <c r="P51" s="30" t="str">
        <f aca="false">IF(OR($B51="",$H51="",$I51="Hecha",$I51="Cancelada"),"",TEXT($H51,"yyyymmdd")&amp;"-"&amp;COUNTIFS($H$7:$H51,$H51,$I$7:$I51,"&lt;&gt;Hecha",$I$7:$I51,"&lt;&gt;Cancelada"))</f>
        <v/>
      </c>
    </row>
    <row r="52" customFormat="false" ht="15" hidden="false" customHeight="false" outlineLevel="0" collapsed="false">
      <c r="A52" s="25" t="str">
        <f aca="false">IF($B52="","",ROW()-6)</f>
        <v/>
      </c>
      <c r="B52" s="27"/>
      <c r="C52" s="27"/>
      <c r="D52" s="27"/>
      <c r="E52" s="27"/>
      <c r="F52" s="27"/>
      <c r="G52" s="27"/>
      <c r="H52" s="28"/>
      <c r="I52" s="27"/>
      <c r="J52" s="25" t="str">
        <f aca="true">IF(OR($B52="",$H52=""),"",IF(OR($I52="Hecha",$I52="Cancelada"),"-",$H52-TODAY()))</f>
        <v/>
      </c>
      <c r="K52" s="31" t="str">
        <f aca="true">IF($B52="","",IF($I52="Hecha","Hecha",IF($I52="Cancelada","Cancelada",IF($I52="En espera","En espera",IF($H52="","Sin fecha",IF($H52&lt;TODAY(),"Vencida",IF($H52=TODAY(),"Hoy",IF($H52-TODAY()&lt;=7,"Esta semana","Más adelante"))))))))</f>
        <v/>
      </c>
      <c r="L52" s="27"/>
      <c r="M52" s="27"/>
      <c r="N52" s="28"/>
      <c r="O52" s="30" t="str">
        <f aca="false">IF($B52="","",IF(OR($K52="Vencida",$K52="Hoy"),COUNTIF($K$7:$K52,"Vencida")+COUNTIF($K$7:$K52,"Hoy"),""))</f>
        <v/>
      </c>
      <c r="P52" s="30" t="str">
        <f aca="false">IF(OR($B52="",$H52="",$I52="Hecha",$I52="Cancelada"),"",TEXT($H52,"yyyymmdd")&amp;"-"&amp;COUNTIFS($H$7:$H52,$H52,$I$7:$I52,"&lt;&gt;Hecha",$I$7:$I52,"&lt;&gt;Cancelada"))</f>
        <v/>
      </c>
    </row>
    <row r="53" customFormat="false" ht="15" hidden="false" customHeight="false" outlineLevel="0" collapsed="false">
      <c r="A53" s="23" t="str">
        <f aca="false">IF($B53="","",ROW()-6)</f>
        <v/>
      </c>
      <c r="B53" s="27"/>
      <c r="C53" s="27"/>
      <c r="D53" s="27"/>
      <c r="E53" s="27"/>
      <c r="F53" s="27"/>
      <c r="G53" s="27"/>
      <c r="H53" s="28"/>
      <c r="I53" s="27"/>
      <c r="J53" s="23" t="str">
        <f aca="true">IF(OR($B53="",$H53=""),"",IF(OR($I53="Hecha",$I53="Cancelada"),"-",$H53-TODAY()))</f>
        <v/>
      </c>
      <c r="K53" s="29" t="str">
        <f aca="true">IF($B53="","",IF($I53="Hecha","Hecha",IF($I53="Cancelada","Cancelada",IF($I53="En espera","En espera",IF($H53="","Sin fecha",IF($H53&lt;TODAY(),"Vencida",IF($H53=TODAY(),"Hoy",IF($H53-TODAY()&lt;=7,"Esta semana","Más adelante"))))))))</f>
        <v/>
      </c>
      <c r="L53" s="27"/>
      <c r="M53" s="27"/>
      <c r="N53" s="28"/>
      <c r="O53" s="30" t="str">
        <f aca="false">IF($B53="","",IF(OR($K53="Vencida",$K53="Hoy"),COUNTIF($K$7:$K53,"Vencida")+COUNTIF($K$7:$K53,"Hoy"),""))</f>
        <v/>
      </c>
      <c r="P53" s="30" t="str">
        <f aca="false">IF(OR($B53="",$H53="",$I53="Hecha",$I53="Cancelada"),"",TEXT($H53,"yyyymmdd")&amp;"-"&amp;COUNTIFS($H$7:$H53,$H53,$I$7:$I53,"&lt;&gt;Hecha",$I$7:$I53,"&lt;&gt;Cancelada"))</f>
        <v/>
      </c>
    </row>
    <row r="54" customFormat="false" ht="15" hidden="false" customHeight="false" outlineLevel="0" collapsed="false">
      <c r="A54" s="25" t="str">
        <f aca="false">IF($B54="","",ROW()-6)</f>
        <v/>
      </c>
      <c r="B54" s="27"/>
      <c r="C54" s="27"/>
      <c r="D54" s="27"/>
      <c r="E54" s="27"/>
      <c r="F54" s="27"/>
      <c r="G54" s="27"/>
      <c r="H54" s="28"/>
      <c r="I54" s="27"/>
      <c r="J54" s="25" t="str">
        <f aca="true">IF(OR($B54="",$H54=""),"",IF(OR($I54="Hecha",$I54="Cancelada"),"-",$H54-TODAY()))</f>
        <v/>
      </c>
      <c r="K54" s="31" t="str">
        <f aca="true">IF($B54="","",IF($I54="Hecha","Hecha",IF($I54="Cancelada","Cancelada",IF($I54="En espera","En espera",IF($H54="","Sin fecha",IF($H54&lt;TODAY(),"Vencida",IF($H54=TODAY(),"Hoy",IF($H54-TODAY()&lt;=7,"Esta semana","Más adelante"))))))))</f>
        <v/>
      </c>
      <c r="L54" s="27"/>
      <c r="M54" s="27"/>
      <c r="N54" s="28"/>
      <c r="O54" s="30" t="str">
        <f aca="false">IF($B54="","",IF(OR($K54="Vencida",$K54="Hoy"),COUNTIF($K$7:$K54,"Vencida")+COUNTIF($K$7:$K54,"Hoy"),""))</f>
        <v/>
      </c>
      <c r="P54" s="30" t="str">
        <f aca="false">IF(OR($B54="",$H54="",$I54="Hecha",$I54="Cancelada"),"",TEXT($H54,"yyyymmdd")&amp;"-"&amp;COUNTIFS($H$7:$H54,$H54,$I$7:$I54,"&lt;&gt;Hecha",$I$7:$I54,"&lt;&gt;Cancelada"))</f>
        <v/>
      </c>
    </row>
    <row r="55" customFormat="false" ht="15" hidden="false" customHeight="false" outlineLevel="0" collapsed="false">
      <c r="A55" s="23" t="str">
        <f aca="false">IF($B55="","",ROW()-6)</f>
        <v/>
      </c>
      <c r="B55" s="27"/>
      <c r="C55" s="27"/>
      <c r="D55" s="27"/>
      <c r="E55" s="27"/>
      <c r="F55" s="27"/>
      <c r="G55" s="27"/>
      <c r="H55" s="28"/>
      <c r="I55" s="27"/>
      <c r="J55" s="23" t="str">
        <f aca="true">IF(OR($B55="",$H55=""),"",IF(OR($I55="Hecha",$I55="Cancelada"),"-",$H55-TODAY()))</f>
        <v/>
      </c>
      <c r="K55" s="29" t="str">
        <f aca="true">IF($B55="","",IF($I55="Hecha","Hecha",IF($I55="Cancelada","Cancelada",IF($I55="En espera","En espera",IF($H55="","Sin fecha",IF($H55&lt;TODAY(),"Vencida",IF($H55=TODAY(),"Hoy",IF($H55-TODAY()&lt;=7,"Esta semana","Más adelante"))))))))</f>
        <v/>
      </c>
      <c r="L55" s="27"/>
      <c r="M55" s="27"/>
      <c r="N55" s="28"/>
      <c r="O55" s="30" t="str">
        <f aca="false">IF($B55="","",IF(OR($K55="Vencida",$K55="Hoy"),COUNTIF($K$7:$K55,"Vencida")+COUNTIF($K$7:$K55,"Hoy"),""))</f>
        <v/>
      </c>
      <c r="P55" s="30" t="str">
        <f aca="false">IF(OR($B55="",$H55="",$I55="Hecha",$I55="Cancelada"),"",TEXT($H55,"yyyymmdd")&amp;"-"&amp;COUNTIFS($H$7:$H55,$H55,$I$7:$I55,"&lt;&gt;Hecha",$I$7:$I55,"&lt;&gt;Cancelada"))</f>
        <v/>
      </c>
    </row>
    <row r="56" customFormat="false" ht="15" hidden="false" customHeight="false" outlineLevel="0" collapsed="false">
      <c r="A56" s="25" t="str">
        <f aca="false">IF($B56="","",ROW()-6)</f>
        <v/>
      </c>
      <c r="B56" s="27"/>
      <c r="C56" s="27"/>
      <c r="D56" s="27"/>
      <c r="E56" s="27"/>
      <c r="F56" s="27"/>
      <c r="G56" s="27"/>
      <c r="H56" s="28"/>
      <c r="I56" s="27"/>
      <c r="J56" s="25" t="str">
        <f aca="true">IF(OR($B56="",$H56=""),"",IF(OR($I56="Hecha",$I56="Cancelada"),"-",$H56-TODAY()))</f>
        <v/>
      </c>
      <c r="K56" s="31" t="str">
        <f aca="true">IF($B56="","",IF($I56="Hecha","Hecha",IF($I56="Cancelada","Cancelada",IF($I56="En espera","En espera",IF($H56="","Sin fecha",IF($H56&lt;TODAY(),"Vencida",IF($H56=TODAY(),"Hoy",IF($H56-TODAY()&lt;=7,"Esta semana","Más adelante"))))))))</f>
        <v/>
      </c>
      <c r="L56" s="27"/>
      <c r="M56" s="27"/>
      <c r="N56" s="28"/>
      <c r="O56" s="30" t="str">
        <f aca="false">IF($B56="","",IF(OR($K56="Vencida",$K56="Hoy"),COUNTIF($K$7:$K56,"Vencida")+COUNTIF($K$7:$K56,"Hoy"),""))</f>
        <v/>
      </c>
      <c r="P56" s="30" t="str">
        <f aca="false">IF(OR($B56="",$H56="",$I56="Hecha",$I56="Cancelada"),"",TEXT($H56,"yyyymmdd")&amp;"-"&amp;COUNTIFS($H$7:$H56,$H56,$I$7:$I56,"&lt;&gt;Hecha",$I$7:$I56,"&lt;&gt;Cancelada"))</f>
        <v/>
      </c>
    </row>
    <row r="57" customFormat="false" ht="15" hidden="false" customHeight="false" outlineLevel="0" collapsed="false">
      <c r="A57" s="23" t="str">
        <f aca="false">IF($B57="","",ROW()-6)</f>
        <v/>
      </c>
      <c r="B57" s="27"/>
      <c r="C57" s="27"/>
      <c r="D57" s="27"/>
      <c r="E57" s="27"/>
      <c r="F57" s="27"/>
      <c r="G57" s="27"/>
      <c r="H57" s="28"/>
      <c r="I57" s="27"/>
      <c r="J57" s="23" t="str">
        <f aca="true">IF(OR($B57="",$H57=""),"",IF(OR($I57="Hecha",$I57="Cancelada"),"-",$H57-TODAY()))</f>
        <v/>
      </c>
      <c r="K57" s="29" t="str">
        <f aca="true">IF($B57="","",IF($I57="Hecha","Hecha",IF($I57="Cancelada","Cancelada",IF($I57="En espera","En espera",IF($H57="","Sin fecha",IF($H57&lt;TODAY(),"Vencida",IF($H57=TODAY(),"Hoy",IF($H57-TODAY()&lt;=7,"Esta semana","Más adelante"))))))))</f>
        <v/>
      </c>
      <c r="L57" s="27"/>
      <c r="M57" s="27"/>
      <c r="N57" s="28"/>
      <c r="O57" s="30" t="str">
        <f aca="false">IF($B57="","",IF(OR($K57="Vencida",$K57="Hoy"),COUNTIF($K$7:$K57,"Vencida")+COUNTIF($K$7:$K57,"Hoy"),""))</f>
        <v/>
      </c>
      <c r="P57" s="30" t="str">
        <f aca="false">IF(OR($B57="",$H57="",$I57="Hecha",$I57="Cancelada"),"",TEXT($H57,"yyyymmdd")&amp;"-"&amp;COUNTIFS($H$7:$H57,$H57,$I$7:$I57,"&lt;&gt;Hecha",$I$7:$I57,"&lt;&gt;Cancelada"))</f>
        <v/>
      </c>
    </row>
    <row r="58" customFormat="false" ht="15" hidden="false" customHeight="false" outlineLevel="0" collapsed="false">
      <c r="A58" s="25" t="str">
        <f aca="false">IF($B58="","",ROW()-6)</f>
        <v/>
      </c>
      <c r="B58" s="27"/>
      <c r="C58" s="27"/>
      <c r="D58" s="27"/>
      <c r="E58" s="27"/>
      <c r="F58" s="27"/>
      <c r="G58" s="27"/>
      <c r="H58" s="28"/>
      <c r="I58" s="27"/>
      <c r="J58" s="25" t="str">
        <f aca="true">IF(OR($B58="",$H58=""),"",IF(OR($I58="Hecha",$I58="Cancelada"),"-",$H58-TODAY()))</f>
        <v/>
      </c>
      <c r="K58" s="31" t="str">
        <f aca="true">IF($B58="","",IF($I58="Hecha","Hecha",IF($I58="Cancelada","Cancelada",IF($I58="En espera","En espera",IF($H58="","Sin fecha",IF($H58&lt;TODAY(),"Vencida",IF($H58=TODAY(),"Hoy",IF($H58-TODAY()&lt;=7,"Esta semana","Más adelante"))))))))</f>
        <v/>
      </c>
      <c r="L58" s="27"/>
      <c r="M58" s="27"/>
      <c r="N58" s="28"/>
      <c r="O58" s="30" t="str">
        <f aca="false">IF($B58="","",IF(OR($K58="Vencida",$K58="Hoy"),COUNTIF($K$7:$K58,"Vencida")+COUNTIF($K$7:$K58,"Hoy"),""))</f>
        <v/>
      </c>
      <c r="P58" s="30" t="str">
        <f aca="false">IF(OR($B58="",$H58="",$I58="Hecha",$I58="Cancelada"),"",TEXT($H58,"yyyymmdd")&amp;"-"&amp;COUNTIFS($H$7:$H58,$H58,$I$7:$I58,"&lt;&gt;Hecha",$I$7:$I58,"&lt;&gt;Cancelada"))</f>
        <v/>
      </c>
    </row>
    <row r="59" customFormat="false" ht="15" hidden="false" customHeight="false" outlineLevel="0" collapsed="false">
      <c r="A59" s="23" t="str">
        <f aca="false">IF($B59="","",ROW()-6)</f>
        <v/>
      </c>
      <c r="B59" s="27"/>
      <c r="C59" s="27"/>
      <c r="D59" s="27"/>
      <c r="E59" s="27"/>
      <c r="F59" s="27"/>
      <c r="G59" s="27"/>
      <c r="H59" s="28"/>
      <c r="I59" s="27"/>
      <c r="J59" s="23" t="str">
        <f aca="true">IF(OR($B59="",$H59=""),"",IF(OR($I59="Hecha",$I59="Cancelada"),"-",$H59-TODAY()))</f>
        <v/>
      </c>
      <c r="K59" s="29" t="str">
        <f aca="true">IF($B59="","",IF($I59="Hecha","Hecha",IF($I59="Cancelada","Cancelada",IF($I59="En espera","En espera",IF($H59="","Sin fecha",IF($H59&lt;TODAY(),"Vencida",IF($H59=TODAY(),"Hoy",IF($H59-TODAY()&lt;=7,"Esta semana","Más adelante"))))))))</f>
        <v/>
      </c>
      <c r="L59" s="27"/>
      <c r="M59" s="27"/>
      <c r="N59" s="28"/>
      <c r="O59" s="30" t="str">
        <f aca="false">IF($B59="","",IF(OR($K59="Vencida",$K59="Hoy"),COUNTIF($K$7:$K59,"Vencida")+COUNTIF($K$7:$K59,"Hoy"),""))</f>
        <v/>
      </c>
      <c r="P59" s="30" t="str">
        <f aca="false">IF(OR($B59="",$H59="",$I59="Hecha",$I59="Cancelada"),"",TEXT($H59,"yyyymmdd")&amp;"-"&amp;COUNTIFS($H$7:$H59,$H59,$I$7:$I59,"&lt;&gt;Hecha",$I$7:$I59,"&lt;&gt;Cancelada"))</f>
        <v/>
      </c>
    </row>
    <row r="60" customFormat="false" ht="15" hidden="false" customHeight="false" outlineLevel="0" collapsed="false">
      <c r="A60" s="25" t="str">
        <f aca="false">IF($B60="","",ROW()-6)</f>
        <v/>
      </c>
      <c r="B60" s="27"/>
      <c r="C60" s="27"/>
      <c r="D60" s="27"/>
      <c r="E60" s="27"/>
      <c r="F60" s="27"/>
      <c r="G60" s="27"/>
      <c r="H60" s="28"/>
      <c r="I60" s="27"/>
      <c r="J60" s="25" t="str">
        <f aca="true">IF(OR($B60="",$H60=""),"",IF(OR($I60="Hecha",$I60="Cancelada"),"-",$H60-TODAY()))</f>
        <v/>
      </c>
      <c r="K60" s="31" t="str">
        <f aca="true">IF($B60="","",IF($I60="Hecha","Hecha",IF($I60="Cancelada","Cancelada",IF($I60="En espera","En espera",IF($H60="","Sin fecha",IF($H60&lt;TODAY(),"Vencida",IF($H60=TODAY(),"Hoy",IF($H60-TODAY()&lt;=7,"Esta semana","Más adelante"))))))))</f>
        <v/>
      </c>
      <c r="L60" s="27"/>
      <c r="M60" s="27"/>
      <c r="N60" s="28"/>
      <c r="O60" s="30" t="str">
        <f aca="false">IF($B60="","",IF(OR($K60="Vencida",$K60="Hoy"),COUNTIF($K$7:$K60,"Vencida")+COUNTIF($K$7:$K60,"Hoy"),""))</f>
        <v/>
      </c>
      <c r="P60" s="30" t="str">
        <f aca="false">IF(OR($B60="",$H60="",$I60="Hecha",$I60="Cancelada"),"",TEXT($H60,"yyyymmdd")&amp;"-"&amp;COUNTIFS($H$7:$H60,$H60,$I$7:$I60,"&lt;&gt;Hecha",$I$7:$I60,"&lt;&gt;Cancelada"))</f>
        <v/>
      </c>
    </row>
    <row r="61" customFormat="false" ht="15" hidden="false" customHeight="false" outlineLevel="0" collapsed="false">
      <c r="A61" s="23" t="str">
        <f aca="false">IF($B61="","",ROW()-6)</f>
        <v/>
      </c>
      <c r="B61" s="27"/>
      <c r="C61" s="27"/>
      <c r="D61" s="27"/>
      <c r="E61" s="27"/>
      <c r="F61" s="27"/>
      <c r="G61" s="27"/>
      <c r="H61" s="28"/>
      <c r="I61" s="27"/>
      <c r="J61" s="23" t="str">
        <f aca="true">IF(OR($B61="",$H61=""),"",IF(OR($I61="Hecha",$I61="Cancelada"),"-",$H61-TODAY()))</f>
        <v/>
      </c>
      <c r="K61" s="29" t="str">
        <f aca="true">IF($B61="","",IF($I61="Hecha","Hecha",IF($I61="Cancelada","Cancelada",IF($I61="En espera","En espera",IF($H61="","Sin fecha",IF($H61&lt;TODAY(),"Vencida",IF($H61=TODAY(),"Hoy",IF($H61-TODAY()&lt;=7,"Esta semana","Más adelante"))))))))</f>
        <v/>
      </c>
      <c r="L61" s="27"/>
      <c r="M61" s="27"/>
      <c r="N61" s="28"/>
      <c r="O61" s="30" t="str">
        <f aca="false">IF($B61="","",IF(OR($K61="Vencida",$K61="Hoy"),COUNTIF($K$7:$K61,"Vencida")+COUNTIF($K$7:$K61,"Hoy"),""))</f>
        <v/>
      </c>
      <c r="P61" s="30" t="str">
        <f aca="false">IF(OR($B61="",$H61="",$I61="Hecha",$I61="Cancelada"),"",TEXT($H61,"yyyymmdd")&amp;"-"&amp;COUNTIFS($H$7:$H61,$H61,$I$7:$I61,"&lt;&gt;Hecha",$I$7:$I61,"&lt;&gt;Cancelada"))</f>
        <v/>
      </c>
    </row>
    <row r="62" customFormat="false" ht="15" hidden="false" customHeight="false" outlineLevel="0" collapsed="false">
      <c r="A62" s="25" t="str">
        <f aca="false">IF($B62="","",ROW()-6)</f>
        <v/>
      </c>
      <c r="B62" s="27"/>
      <c r="C62" s="27"/>
      <c r="D62" s="27"/>
      <c r="E62" s="27"/>
      <c r="F62" s="27"/>
      <c r="G62" s="27"/>
      <c r="H62" s="28"/>
      <c r="I62" s="27"/>
      <c r="J62" s="25" t="str">
        <f aca="true">IF(OR($B62="",$H62=""),"",IF(OR($I62="Hecha",$I62="Cancelada"),"-",$H62-TODAY()))</f>
        <v/>
      </c>
      <c r="K62" s="31" t="str">
        <f aca="true">IF($B62="","",IF($I62="Hecha","Hecha",IF($I62="Cancelada","Cancelada",IF($I62="En espera","En espera",IF($H62="","Sin fecha",IF($H62&lt;TODAY(),"Vencida",IF($H62=TODAY(),"Hoy",IF($H62-TODAY()&lt;=7,"Esta semana","Más adelante"))))))))</f>
        <v/>
      </c>
      <c r="L62" s="27"/>
      <c r="M62" s="27"/>
      <c r="N62" s="28"/>
      <c r="O62" s="30" t="str">
        <f aca="false">IF($B62="","",IF(OR($K62="Vencida",$K62="Hoy"),COUNTIF($K$7:$K62,"Vencida")+COUNTIF($K$7:$K62,"Hoy"),""))</f>
        <v/>
      </c>
      <c r="P62" s="30" t="str">
        <f aca="false">IF(OR($B62="",$H62="",$I62="Hecha",$I62="Cancelada"),"",TEXT($H62,"yyyymmdd")&amp;"-"&amp;COUNTIFS($H$7:$H62,$H62,$I$7:$I62,"&lt;&gt;Hecha",$I$7:$I62,"&lt;&gt;Cancelada"))</f>
        <v/>
      </c>
    </row>
    <row r="63" customFormat="false" ht="15" hidden="false" customHeight="false" outlineLevel="0" collapsed="false">
      <c r="A63" s="23" t="str">
        <f aca="false">IF($B63="","",ROW()-6)</f>
        <v/>
      </c>
      <c r="B63" s="27"/>
      <c r="C63" s="27"/>
      <c r="D63" s="27"/>
      <c r="E63" s="27"/>
      <c r="F63" s="27"/>
      <c r="G63" s="27"/>
      <c r="H63" s="28"/>
      <c r="I63" s="27"/>
      <c r="J63" s="23" t="str">
        <f aca="true">IF(OR($B63="",$H63=""),"",IF(OR($I63="Hecha",$I63="Cancelada"),"-",$H63-TODAY()))</f>
        <v/>
      </c>
      <c r="K63" s="29" t="str">
        <f aca="true">IF($B63="","",IF($I63="Hecha","Hecha",IF($I63="Cancelada","Cancelada",IF($I63="En espera","En espera",IF($H63="","Sin fecha",IF($H63&lt;TODAY(),"Vencida",IF($H63=TODAY(),"Hoy",IF($H63-TODAY()&lt;=7,"Esta semana","Más adelante"))))))))</f>
        <v/>
      </c>
      <c r="L63" s="27"/>
      <c r="M63" s="27"/>
      <c r="N63" s="28"/>
      <c r="O63" s="30" t="str">
        <f aca="false">IF($B63="","",IF(OR($K63="Vencida",$K63="Hoy"),COUNTIF($K$7:$K63,"Vencida")+COUNTIF($K$7:$K63,"Hoy"),""))</f>
        <v/>
      </c>
      <c r="P63" s="30" t="str">
        <f aca="false">IF(OR($B63="",$H63="",$I63="Hecha",$I63="Cancelada"),"",TEXT($H63,"yyyymmdd")&amp;"-"&amp;COUNTIFS($H$7:$H63,$H63,$I$7:$I63,"&lt;&gt;Hecha",$I$7:$I63,"&lt;&gt;Cancelada"))</f>
        <v/>
      </c>
    </row>
    <row r="64" customFormat="false" ht="15" hidden="false" customHeight="false" outlineLevel="0" collapsed="false">
      <c r="A64" s="25" t="str">
        <f aca="false">IF($B64="","",ROW()-6)</f>
        <v/>
      </c>
      <c r="B64" s="27"/>
      <c r="C64" s="27"/>
      <c r="D64" s="27"/>
      <c r="E64" s="27"/>
      <c r="F64" s="27"/>
      <c r="G64" s="27"/>
      <c r="H64" s="28"/>
      <c r="I64" s="27"/>
      <c r="J64" s="25" t="str">
        <f aca="true">IF(OR($B64="",$H64=""),"",IF(OR($I64="Hecha",$I64="Cancelada"),"-",$H64-TODAY()))</f>
        <v/>
      </c>
      <c r="K64" s="31" t="str">
        <f aca="true">IF($B64="","",IF($I64="Hecha","Hecha",IF($I64="Cancelada","Cancelada",IF($I64="En espera","En espera",IF($H64="","Sin fecha",IF($H64&lt;TODAY(),"Vencida",IF($H64=TODAY(),"Hoy",IF($H64-TODAY()&lt;=7,"Esta semana","Más adelante"))))))))</f>
        <v/>
      </c>
      <c r="L64" s="27"/>
      <c r="M64" s="27"/>
      <c r="N64" s="28"/>
      <c r="O64" s="30" t="str">
        <f aca="false">IF($B64="","",IF(OR($K64="Vencida",$K64="Hoy"),COUNTIF($K$7:$K64,"Vencida")+COUNTIF($K$7:$K64,"Hoy"),""))</f>
        <v/>
      </c>
      <c r="P64" s="30" t="str">
        <f aca="false">IF(OR($B64="",$H64="",$I64="Hecha",$I64="Cancelada"),"",TEXT($H64,"yyyymmdd")&amp;"-"&amp;COUNTIFS($H$7:$H64,$H64,$I$7:$I64,"&lt;&gt;Hecha",$I$7:$I64,"&lt;&gt;Cancelada"))</f>
        <v/>
      </c>
    </row>
    <row r="65" customFormat="false" ht="15" hidden="false" customHeight="false" outlineLevel="0" collapsed="false">
      <c r="A65" s="23" t="str">
        <f aca="false">IF($B65="","",ROW()-6)</f>
        <v/>
      </c>
      <c r="B65" s="27"/>
      <c r="C65" s="27"/>
      <c r="D65" s="27"/>
      <c r="E65" s="27"/>
      <c r="F65" s="27"/>
      <c r="G65" s="27"/>
      <c r="H65" s="28"/>
      <c r="I65" s="27"/>
      <c r="J65" s="23" t="str">
        <f aca="true">IF(OR($B65="",$H65=""),"",IF(OR($I65="Hecha",$I65="Cancelada"),"-",$H65-TODAY()))</f>
        <v/>
      </c>
      <c r="K65" s="29" t="str">
        <f aca="true">IF($B65="","",IF($I65="Hecha","Hecha",IF($I65="Cancelada","Cancelada",IF($I65="En espera","En espera",IF($H65="","Sin fecha",IF($H65&lt;TODAY(),"Vencida",IF($H65=TODAY(),"Hoy",IF($H65-TODAY()&lt;=7,"Esta semana","Más adelante"))))))))</f>
        <v/>
      </c>
      <c r="L65" s="27"/>
      <c r="M65" s="27"/>
      <c r="N65" s="28"/>
      <c r="O65" s="30" t="str">
        <f aca="false">IF($B65="","",IF(OR($K65="Vencida",$K65="Hoy"),COUNTIF($K$7:$K65,"Vencida")+COUNTIF($K$7:$K65,"Hoy"),""))</f>
        <v/>
      </c>
      <c r="P65" s="30" t="str">
        <f aca="false">IF(OR($B65="",$H65="",$I65="Hecha",$I65="Cancelada"),"",TEXT($H65,"yyyymmdd")&amp;"-"&amp;COUNTIFS($H$7:$H65,$H65,$I$7:$I65,"&lt;&gt;Hecha",$I$7:$I65,"&lt;&gt;Cancelada"))</f>
        <v/>
      </c>
    </row>
    <row r="66" customFormat="false" ht="15" hidden="false" customHeight="false" outlineLevel="0" collapsed="false">
      <c r="A66" s="25" t="str">
        <f aca="false">IF($B66="","",ROW()-6)</f>
        <v/>
      </c>
      <c r="B66" s="27"/>
      <c r="C66" s="27"/>
      <c r="D66" s="27"/>
      <c r="E66" s="27"/>
      <c r="F66" s="27"/>
      <c r="G66" s="27"/>
      <c r="H66" s="28"/>
      <c r="I66" s="27"/>
      <c r="J66" s="25" t="str">
        <f aca="true">IF(OR($B66="",$H66=""),"",IF(OR($I66="Hecha",$I66="Cancelada"),"-",$H66-TODAY()))</f>
        <v/>
      </c>
      <c r="K66" s="31" t="str">
        <f aca="true">IF($B66="","",IF($I66="Hecha","Hecha",IF($I66="Cancelada","Cancelada",IF($I66="En espera","En espera",IF($H66="","Sin fecha",IF($H66&lt;TODAY(),"Vencida",IF($H66=TODAY(),"Hoy",IF($H66-TODAY()&lt;=7,"Esta semana","Más adelante"))))))))</f>
        <v/>
      </c>
      <c r="L66" s="27"/>
      <c r="M66" s="27"/>
      <c r="N66" s="28"/>
      <c r="O66" s="30" t="str">
        <f aca="false">IF($B66="","",IF(OR($K66="Vencida",$K66="Hoy"),COUNTIF($K$7:$K66,"Vencida")+COUNTIF($K$7:$K66,"Hoy"),""))</f>
        <v/>
      </c>
      <c r="P66" s="30" t="str">
        <f aca="false">IF(OR($B66="",$H66="",$I66="Hecha",$I66="Cancelada"),"",TEXT($H66,"yyyymmdd")&amp;"-"&amp;COUNTIFS($H$7:$H66,$H66,$I$7:$I66,"&lt;&gt;Hecha",$I$7:$I66,"&lt;&gt;Cancelada"))</f>
        <v/>
      </c>
    </row>
    <row r="67" customFormat="false" ht="15" hidden="false" customHeight="false" outlineLevel="0" collapsed="false">
      <c r="A67" s="23" t="str">
        <f aca="false">IF($B67="","",ROW()-6)</f>
        <v/>
      </c>
      <c r="B67" s="27"/>
      <c r="C67" s="27"/>
      <c r="D67" s="27"/>
      <c r="E67" s="27"/>
      <c r="F67" s="27"/>
      <c r="G67" s="27"/>
      <c r="H67" s="28"/>
      <c r="I67" s="27"/>
      <c r="J67" s="23" t="str">
        <f aca="true">IF(OR($B67="",$H67=""),"",IF(OR($I67="Hecha",$I67="Cancelada"),"-",$H67-TODAY()))</f>
        <v/>
      </c>
      <c r="K67" s="29" t="str">
        <f aca="true">IF($B67="","",IF($I67="Hecha","Hecha",IF($I67="Cancelada","Cancelada",IF($I67="En espera","En espera",IF($H67="","Sin fecha",IF($H67&lt;TODAY(),"Vencida",IF($H67=TODAY(),"Hoy",IF($H67-TODAY()&lt;=7,"Esta semana","Más adelante"))))))))</f>
        <v/>
      </c>
      <c r="L67" s="27"/>
      <c r="M67" s="27"/>
      <c r="N67" s="28"/>
      <c r="O67" s="30" t="str">
        <f aca="false">IF($B67="","",IF(OR($K67="Vencida",$K67="Hoy"),COUNTIF($K$7:$K67,"Vencida")+COUNTIF($K$7:$K67,"Hoy"),""))</f>
        <v/>
      </c>
      <c r="P67" s="30" t="str">
        <f aca="false">IF(OR($B67="",$H67="",$I67="Hecha",$I67="Cancelada"),"",TEXT($H67,"yyyymmdd")&amp;"-"&amp;COUNTIFS($H$7:$H67,$H67,$I$7:$I67,"&lt;&gt;Hecha",$I$7:$I67,"&lt;&gt;Cancelada"))</f>
        <v/>
      </c>
    </row>
    <row r="68" customFormat="false" ht="15" hidden="false" customHeight="false" outlineLevel="0" collapsed="false">
      <c r="A68" s="25" t="str">
        <f aca="false">IF($B68="","",ROW()-6)</f>
        <v/>
      </c>
      <c r="B68" s="27"/>
      <c r="C68" s="27"/>
      <c r="D68" s="27"/>
      <c r="E68" s="27"/>
      <c r="F68" s="27"/>
      <c r="G68" s="27"/>
      <c r="H68" s="28"/>
      <c r="I68" s="27"/>
      <c r="J68" s="25" t="str">
        <f aca="true">IF(OR($B68="",$H68=""),"",IF(OR($I68="Hecha",$I68="Cancelada"),"-",$H68-TODAY()))</f>
        <v/>
      </c>
      <c r="K68" s="31" t="str">
        <f aca="true">IF($B68="","",IF($I68="Hecha","Hecha",IF($I68="Cancelada","Cancelada",IF($I68="En espera","En espera",IF($H68="","Sin fecha",IF($H68&lt;TODAY(),"Vencida",IF($H68=TODAY(),"Hoy",IF($H68-TODAY()&lt;=7,"Esta semana","Más adelante"))))))))</f>
        <v/>
      </c>
      <c r="L68" s="27"/>
      <c r="M68" s="27"/>
      <c r="N68" s="28"/>
      <c r="O68" s="30" t="str">
        <f aca="false">IF($B68="","",IF(OR($K68="Vencida",$K68="Hoy"),COUNTIF($K$7:$K68,"Vencida")+COUNTIF($K$7:$K68,"Hoy"),""))</f>
        <v/>
      </c>
      <c r="P68" s="30" t="str">
        <f aca="false">IF(OR($B68="",$H68="",$I68="Hecha",$I68="Cancelada"),"",TEXT($H68,"yyyymmdd")&amp;"-"&amp;COUNTIFS($H$7:$H68,$H68,$I$7:$I68,"&lt;&gt;Hecha",$I$7:$I68,"&lt;&gt;Cancelada"))</f>
        <v/>
      </c>
    </row>
    <row r="69" customFormat="false" ht="15" hidden="false" customHeight="false" outlineLevel="0" collapsed="false">
      <c r="A69" s="23" t="str">
        <f aca="false">IF($B69="","",ROW()-6)</f>
        <v/>
      </c>
      <c r="B69" s="27"/>
      <c r="C69" s="27"/>
      <c r="D69" s="27"/>
      <c r="E69" s="27"/>
      <c r="F69" s="27"/>
      <c r="G69" s="27"/>
      <c r="H69" s="28"/>
      <c r="I69" s="27"/>
      <c r="J69" s="23" t="str">
        <f aca="true">IF(OR($B69="",$H69=""),"",IF(OR($I69="Hecha",$I69="Cancelada"),"-",$H69-TODAY()))</f>
        <v/>
      </c>
      <c r="K69" s="29" t="str">
        <f aca="true">IF($B69="","",IF($I69="Hecha","Hecha",IF($I69="Cancelada","Cancelada",IF($I69="En espera","En espera",IF($H69="","Sin fecha",IF($H69&lt;TODAY(),"Vencida",IF($H69=TODAY(),"Hoy",IF($H69-TODAY()&lt;=7,"Esta semana","Más adelante"))))))))</f>
        <v/>
      </c>
      <c r="L69" s="27"/>
      <c r="M69" s="27"/>
      <c r="N69" s="28"/>
      <c r="O69" s="30" t="str">
        <f aca="false">IF($B69="","",IF(OR($K69="Vencida",$K69="Hoy"),COUNTIF($K$7:$K69,"Vencida")+COUNTIF($K$7:$K69,"Hoy"),""))</f>
        <v/>
      </c>
      <c r="P69" s="30" t="str">
        <f aca="false">IF(OR($B69="",$H69="",$I69="Hecha",$I69="Cancelada"),"",TEXT($H69,"yyyymmdd")&amp;"-"&amp;COUNTIFS($H$7:$H69,$H69,$I$7:$I69,"&lt;&gt;Hecha",$I$7:$I69,"&lt;&gt;Cancelada"))</f>
        <v/>
      </c>
    </row>
    <row r="70" customFormat="false" ht="15" hidden="false" customHeight="false" outlineLevel="0" collapsed="false">
      <c r="A70" s="25" t="str">
        <f aca="false">IF($B70="","",ROW()-6)</f>
        <v/>
      </c>
      <c r="B70" s="27"/>
      <c r="C70" s="27"/>
      <c r="D70" s="27"/>
      <c r="E70" s="27"/>
      <c r="F70" s="27"/>
      <c r="G70" s="27"/>
      <c r="H70" s="28"/>
      <c r="I70" s="27"/>
      <c r="J70" s="25" t="str">
        <f aca="true">IF(OR($B70="",$H70=""),"",IF(OR($I70="Hecha",$I70="Cancelada"),"-",$H70-TODAY()))</f>
        <v/>
      </c>
      <c r="K70" s="31" t="str">
        <f aca="true">IF($B70="","",IF($I70="Hecha","Hecha",IF($I70="Cancelada","Cancelada",IF($I70="En espera","En espera",IF($H70="","Sin fecha",IF($H70&lt;TODAY(),"Vencida",IF($H70=TODAY(),"Hoy",IF($H70-TODAY()&lt;=7,"Esta semana","Más adelante"))))))))</f>
        <v/>
      </c>
      <c r="L70" s="27"/>
      <c r="M70" s="27"/>
      <c r="N70" s="28"/>
      <c r="O70" s="30" t="str">
        <f aca="false">IF($B70="","",IF(OR($K70="Vencida",$K70="Hoy"),COUNTIF($K$7:$K70,"Vencida")+COUNTIF($K$7:$K70,"Hoy"),""))</f>
        <v/>
      </c>
      <c r="P70" s="30" t="str">
        <f aca="false">IF(OR($B70="",$H70="",$I70="Hecha",$I70="Cancelada"),"",TEXT($H70,"yyyymmdd")&amp;"-"&amp;COUNTIFS($H$7:$H70,$H70,$I$7:$I70,"&lt;&gt;Hecha",$I$7:$I70,"&lt;&gt;Cancelada"))</f>
        <v/>
      </c>
    </row>
    <row r="71" customFormat="false" ht="15" hidden="false" customHeight="false" outlineLevel="0" collapsed="false">
      <c r="A71" s="23" t="str">
        <f aca="false">IF($B71="","",ROW()-6)</f>
        <v/>
      </c>
      <c r="B71" s="27"/>
      <c r="C71" s="27"/>
      <c r="D71" s="27"/>
      <c r="E71" s="27"/>
      <c r="F71" s="27"/>
      <c r="G71" s="27"/>
      <c r="H71" s="28"/>
      <c r="I71" s="27"/>
      <c r="J71" s="23" t="str">
        <f aca="true">IF(OR($B71="",$H71=""),"",IF(OR($I71="Hecha",$I71="Cancelada"),"-",$H71-TODAY()))</f>
        <v/>
      </c>
      <c r="K71" s="29" t="str">
        <f aca="true">IF($B71="","",IF($I71="Hecha","Hecha",IF($I71="Cancelada","Cancelada",IF($I71="En espera","En espera",IF($H71="","Sin fecha",IF($H71&lt;TODAY(),"Vencida",IF($H71=TODAY(),"Hoy",IF($H71-TODAY()&lt;=7,"Esta semana","Más adelante"))))))))</f>
        <v/>
      </c>
      <c r="L71" s="27"/>
      <c r="M71" s="27"/>
      <c r="N71" s="28"/>
      <c r="O71" s="30" t="str">
        <f aca="false">IF($B71="","",IF(OR($K71="Vencida",$K71="Hoy"),COUNTIF($K$7:$K71,"Vencida")+COUNTIF($K$7:$K71,"Hoy"),""))</f>
        <v/>
      </c>
      <c r="P71" s="30" t="str">
        <f aca="false">IF(OR($B71="",$H71="",$I71="Hecha",$I71="Cancelada"),"",TEXT($H71,"yyyymmdd")&amp;"-"&amp;COUNTIFS($H$7:$H71,$H71,$I$7:$I71,"&lt;&gt;Hecha",$I$7:$I71,"&lt;&gt;Cancelada"))</f>
        <v/>
      </c>
    </row>
    <row r="72" customFormat="false" ht="15" hidden="false" customHeight="false" outlineLevel="0" collapsed="false">
      <c r="A72" s="25" t="str">
        <f aca="false">IF($B72="","",ROW()-6)</f>
        <v/>
      </c>
      <c r="B72" s="27"/>
      <c r="C72" s="27"/>
      <c r="D72" s="27"/>
      <c r="E72" s="27"/>
      <c r="F72" s="27"/>
      <c r="G72" s="27"/>
      <c r="H72" s="28"/>
      <c r="I72" s="27"/>
      <c r="J72" s="25" t="str">
        <f aca="true">IF(OR($B72="",$H72=""),"",IF(OR($I72="Hecha",$I72="Cancelada"),"-",$H72-TODAY()))</f>
        <v/>
      </c>
      <c r="K72" s="31" t="str">
        <f aca="true">IF($B72="","",IF($I72="Hecha","Hecha",IF($I72="Cancelada","Cancelada",IF($I72="En espera","En espera",IF($H72="","Sin fecha",IF($H72&lt;TODAY(),"Vencida",IF($H72=TODAY(),"Hoy",IF($H72-TODAY()&lt;=7,"Esta semana","Más adelante"))))))))</f>
        <v/>
      </c>
      <c r="L72" s="27"/>
      <c r="M72" s="27"/>
      <c r="N72" s="28"/>
      <c r="O72" s="30" t="str">
        <f aca="false">IF($B72="","",IF(OR($K72="Vencida",$K72="Hoy"),COUNTIF($K$7:$K72,"Vencida")+COUNTIF($K$7:$K72,"Hoy"),""))</f>
        <v/>
      </c>
      <c r="P72" s="30" t="str">
        <f aca="false">IF(OR($B72="",$H72="",$I72="Hecha",$I72="Cancelada"),"",TEXT($H72,"yyyymmdd")&amp;"-"&amp;COUNTIFS($H$7:$H72,$H72,$I$7:$I72,"&lt;&gt;Hecha",$I$7:$I72,"&lt;&gt;Cancelada"))</f>
        <v/>
      </c>
    </row>
    <row r="73" customFormat="false" ht="15" hidden="false" customHeight="false" outlineLevel="0" collapsed="false">
      <c r="A73" s="23" t="str">
        <f aca="false">IF($B73="","",ROW()-6)</f>
        <v/>
      </c>
      <c r="B73" s="27"/>
      <c r="C73" s="27"/>
      <c r="D73" s="27"/>
      <c r="E73" s="27"/>
      <c r="F73" s="27"/>
      <c r="G73" s="27"/>
      <c r="H73" s="28"/>
      <c r="I73" s="27"/>
      <c r="J73" s="23" t="str">
        <f aca="true">IF(OR($B73="",$H73=""),"",IF(OR($I73="Hecha",$I73="Cancelada"),"-",$H73-TODAY()))</f>
        <v/>
      </c>
      <c r="K73" s="29" t="str">
        <f aca="true">IF($B73="","",IF($I73="Hecha","Hecha",IF($I73="Cancelada","Cancelada",IF($I73="En espera","En espera",IF($H73="","Sin fecha",IF($H73&lt;TODAY(),"Vencida",IF($H73=TODAY(),"Hoy",IF($H73-TODAY()&lt;=7,"Esta semana","Más adelante"))))))))</f>
        <v/>
      </c>
      <c r="L73" s="27"/>
      <c r="M73" s="27"/>
      <c r="N73" s="28"/>
      <c r="O73" s="30" t="str">
        <f aca="false">IF($B73="","",IF(OR($K73="Vencida",$K73="Hoy"),COUNTIF($K$7:$K73,"Vencida")+COUNTIF($K$7:$K73,"Hoy"),""))</f>
        <v/>
      </c>
      <c r="P73" s="30" t="str">
        <f aca="false">IF(OR($B73="",$H73="",$I73="Hecha",$I73="Cancelada"),"",TEXT($H73,"yyyymmdd")&amp;"-"&amp;COUNTIFS($H$7:$H73,$H73,$I$7:$I73,"&lt;&gt;Hecha",$I$7:$I73,"&lt;&gt;Cancelada"))</f>
        <v/>
      </c>
    </row>
    <row r="74" customFormat="false" ht="15" hidden="false" customHeight="false" outlineLevel="0" collapsed="false">
      <c r="A74" s="25" t="str">
        <f aca="false">IF($B74="","",ROW()-6)</f>
        <v/>
      </c>
      <c r="B74" s="27"/>
      <c r="C74" s="27"/>
      <c r="D74" s="27"/>
      <c r="E74" s="27"/>
      <c r="F74" s="27"/>
      <c r="G74" s="27"/>
      <c r="H74" s="28"/>
      <c r="I74" s="27"/>
      <c r="J74" s="25" t="str">
        <f aca="true">IF(OR($B74="",$H74=""),"",IF(OR($I74="Hecha",$I74="Cancelada"),"-",$H74-TODAY()))</f>
        <v/>
      </c>
      <c r="K74" s="31" t="str">
        <f aca="true">IF($B74="","",IF($I74="Hecha","Hecha",IF($I74="Cancelada","Cancelada",IF($I74="En espera","En espera",IF($H74="","Sin fecha",IF($H74&lt;TODAY(),"Vencida",IF($H74=TODAY(),"Hoy",IF($H74-TODAY()&lt;=7,"Esta semana","Más adelante"))))))))</f>
        <v/>
      </c>
      <c r="L74" s="27"/>
      <c r="M74" s="27"/>
      <c r="N74" s="28"/>
      <c r="O74" s="30" t="str">
        <f aca="false">IF($B74="","",IF(OR($K74="Vencida",$K74="Hoy"),COUNTIF($K$7:$K74,"Vencida")+COUNTIF($K$7:$K74,"Hoy"),""))</f>
        <v/>
      </c>
      <c r="P74" s="30" t="str">
        <f aca="false">IF(OR($B74="",$H74="",$I74="Hecha",$I74="Cancelada"),"",TEXT($H74,"yyyymmdd")&amp;"-"&amp;COUNTIFS($H$7:$H74,$H74,$I$7:$I74,"&lt;&gt;Hecha",$I$7:$I74,"&lt;&gt;Cancelada"))</f>
        <v/>
      </c>
    </row>
    <row r="75" customFormat="false" ht="15" hidden="false" customHeight="false" outlineLevel="0" collapsed="false">
      <c r="A75" s="23" t="str">
        <f aca="false">IF($B75="","",ROW()-6)</f>
        <v/>
      </c>
      <c r="B75" s="27"/>
      <c r="C75" s="27"/>
      <c r="D75" s="27"/>
      <c r="E75" s="27"/>
      <c r="F75" s="27"/>
      <c r="G75" s="27"/>
      <c r="H75" s="28"/>
      <c r="I75" s="27"/>
      <c r="J75" s="23" t="str">
        <f aca="true">IF(OR($B75="",$H75=""),"",IF(OR($I75="Hecha",$I75="Cancelada"),"-",$H75-TODAY()))</f>
        <v/>
      </c>
      <c r="K75" s="29" t="str">
        <f aca="true">IF($B75="","",IF($I75="Hecha","Hecha",IF($I75="Cancelada","Cancelada",IF($I75="En espera","En espera",IF($H75="","Sin fecha",IF($H75&lt;TODAY(),"Vencida",IF($H75=TODAY(),"Hoy",IF($H75-TODAY()&lt;=7,"Esta semana","Más adelante"))))))))</f>
        <v/>
      </c>
      <c r="L75" s="27"/>
      <c r="M75" s="27"/>
      <c r="N75" s="28"/>
      <c r="O75" s="30" t="str">
        <f aca="false">IF($B75="","",IF(OR($K75="Vencida",$K75="Hoy"),COUNTIF($K$7:$K75,"Vencida")+COUNTIF($K$7:$K75,"Hoy"),""))</f>
        <v/>
      </c>
      <c r="P75" s="30" t="str">
        <f aca="false">IF(OR($B75="",$H75="",$I75="Hecha",$I75="Cancelada"),"",TEXT($H75,"yyyymmdd")&amp;"-"&amp;COUNTIFS($H$7:$H75,$H75,$I$7:$I75,"&lt;&gt;Hecha",$I$7:$I75,"&lt;&gt;Cancelada"))</f>
        <v/>
      </c>
    </row>
    <row r="76" customFormat="false" ht="15" hidden="false" customHeight="false" outlineLevel="0" collapsed="false">
      <c r="A76" s="25" t="str">
        <f aca="false">IF($B76="","",ROW()-6)</f>
        <v/>
      </c>
      <c r="B76" s="27"/>
      <c r="C76" s="27"/>
      <c r="D76" s="27"/>
      <c r="E76" s="27"/>
      <c r="F76" s="27"/>
      <c r="G76" s="27"/>
      <c r="H76" s="28"/>
      <c r="I76" s="27"/>
      <c r="J76" s="25" t="str">
        <f aca="true">IF(OR($B76="",$H76=""),"",IF(OR($I76="Hecha",$I76="Cancelada"),"-",$H76-TODAY()))</f>
        <v/>
      </c>
      <c r="K76" s="31" t="str">
        <f aca="true">IF($B76="","",IF($I76="Hecha","Hecha",IF($I76="Cancelada","Cancelada",IF($I76="En espera","En espera",IF($H76="","Sin fecha",IF($H76&lt;TODAY(),"Vencida",IF($H76=TODAY(),"Hoy",IF($H76-TODAY()&lt;=7,"Esta semana","Más adelante"))))))))</f>
        <v/>
      </c>
      <c r="L76" s="27"/>
      <c r="M76" s="27"/>
      <c r="N76" s="28"/>
      <c r="O76" s="30" t="str">
        <f aca="false">IF($B76="","",IF(OR($K76="Vencida",$K76="Hoy"),COUNTIF($K$7:$K76,"Vencida")+COUNTIF($K$7:$K76,"Hoy"),""))</f>
        <v/>
      </c>
      <c r="P76" s="30" t="str">
        <f aca="false">IF(OR($B76="",$H76="",$I76="Hecha",$I76="Cancelada"),"",TEXT($H76,"yyyymmdd")&amp;"-"&amp;COUNTIFS($H$7:$H76,$H76,$I$7:$I76,"&lt;&gt;Hecha",$I$7:$I76,"&lt;&gt;Cancelada"))</f>
        <v/>
      </c>
    </row>
    <row r="77" customFormat="false" ht="15" hidden="false" customHeight="false" outlineLevel="0" collapsed="false">
      <c r="A77" s="23" t="str">
        <f aca="false">IF($B77="","",ROW()-6)</f>
        <v/>
      </c>
      <c r="B77" s="27"/>
      <c r="C77" s="27"/>
      <c r="D77" s="27"/>
      <c r="E77" s="27"/>
      <c r="F77" s="27"/>
      <c r="G77" s="27"/>
      <c r="H77" s="28"/>
      <c r="I77" s="27"/>
      <c r="J77" s="23" t="str">
        <f aca="true">IF(OR($B77="",$H77=""),"",IF(OR($I77="Hecha",$I77="Cancelada"),"-",$H77-TODAY()))</f>
        <v/>
      </c>
      <c r="K77" s="29" t="str">
        <f aca="true">IF($B77="","",IF($I77="Hecha","Hecha",IF($I77="Cancelada","Cancelada",IF($I77="En espera","En espera",IF($H77="","Sin fecha",IF($H77&lt;TODAY(),"Vencida",IF($H77=TODAY(),"Hoy",IF($H77-TODAY()&lt;=7,"Esta semana","Más adelante"))))))))</f>
        <v/>
      </c>
      <c r="L77" s="27"/>
      <c r="M77" s="27"/>
      <c r="N77" s="28"/>
      <c r="O77" s="30" t="str">
        <f aca="false">IF($B77="","",IF(OR($K77="Vencida",$K77="Hoy"),COUNTIF($K$7:$K77,"Vencida")+COUNTIF($K$7:$K77,"Hoy"),""))</f>
        <v/>
      </c>
      <c r="P77" s="30" t="str">
        <f aca="false">IF(OR($B77="",$H77="",$I77="Hecha",$I77="Cancelada"),"",TEXT($H77,"yyyymmdd")&amp;"-"&amp;COUNTIFS($H$7:$H77,$H77,$I$7:$I77,"&lt;&gt;Hecha",$I$7:$I77,"&lt;&gt;Cancelada"))</f>
        <v/>
      </c>
    </row>
    <row r="78" customFormat="false" ht="15" hidden="false" customHeight="false" outlineLevel="0" collapsed="false">
      <c r="A78" s="25" t="str">
        <f aca="false">IF($B78="","",ROW()-6)</f>
        <v/>
      </c>
      <c r="B78" s="27"/>
      <c r="C78" s="27"/>
      <c r="D78" s="27"/>
      <c r="E78" s="27"/>
      <c r="F78" s="27"/>
      <c r="G78" s="27"/>
      <c r="H78" s="28"/>
      <c r="I78" s="27"/>
      <c r="J78" s="25" t="str">
        <f aca="true">IF(OR($B78="",$H78=""),"",IF(OR($I78="Hecha",$I78="Cancelada"),"-",$H78-TODAY()))</f>
        <v/>
      </c>
      <c r="K78" s="31" t="str">
        <f aca="true">IF($B78="","",IF($I78="Hecha","Hecha",IF($I78="Cancelada","Cancelada",IF($I78="En espera","En espera",IF($H78="","Sin fecha",IF($H78&lt;TODAY(),"Vencida",IF($H78=TODAY(),"Hoy",IF($H78-TODAY()&lt;=7,"Esta semana","Más adelante"))))))))</f>
        <v/>
      </c>
      <c r="L78" s="27"/>
      <c r="M78" s="27"/>
      <c r="N78" s="28"/>
      <c r="O78" s="30" t="str">
        <f aca="false">IF($B78="","",IF(OR($K78="Vencida",$K78="Hoy"),COUNTIF($K$7:$K78,"Vencida")+COUNTIF($K$7:$K78,"Hoy"),""))</f>
        <v/>
      </c>
      <c r="P78" s="30" t="str">
        <f aca="false">IF(OR($B78="",$H78="",$I78="Hecha",$I78="Cancelada"),"",TEXT($H78,"yyyymmdd")&amp;"-"&amp;COUNTIFS($H$7:$H78,$H78,$I$7:$I78,"&lt;&gt;Hecha",$I$7:$I78,"&lt;&gt;Cancelada"))</f>
        <v/>
      </c>
    </row>
    <row r="79" customFormat="false" ht="15" hidden="false" customHeight="false" outlineLevel="0" collapsed="false">
      <c r="A79" s="23" t="str">
        <f aca="false">IF($B79="","",ROW()-6)</f>
        <v/>
      </c>
      <c r="B79" s="27"/>
      <c r="C79" s="27"/>
      <c r="D79" s="27"/>
      <c r="E79" s="27"/>
      <c r="F79" s="27"/>
      <c r="G79" s="27"/>
      <c r="H79" s="28"/>
      <c r="I79" s="27"/>
      <c r="J79" s="23" t="str">
        <f aca="true">IF(OR($B79="",$H79=""),"",IF(OR($I79="Hecha",$I79="Cancelada"),"-",$H79-TODAY()))</f>
        <v/>
      </c>
      <c r="K79" s="29" t="str">
        <f aca="true">IF($B79="","",IF($I79="Hecha","Hecha",IF($I79="Cancelada","Cancelada",IF($I79="En espera","En espera",IF($H79="","Sin fecha",IF($H79&lt;TODAY(),"Vencida",IF($H79=TODAY(),"Hoy",IF($H79-TODAY()&lt;=7,"Esta semana","Más adelante"))))))))</f>
        <v/>
      </c>
      <c r="L79" s="27"/>
      <c r="M79" s="27"/>
      <c r="N79" s="28"/>
      <c r="O79" s="30" t="str">
        <f aca="false">IF($B79="","",IF(OR($K79="Vencida",$K79="Hoy"),COUNTIF($K$7:$K79,"Vencida")+COUNTIF($K$7:$K79,"Hoy"),""))</f>
        <v/>
      </c>
      <c r="P79" s="30" t="str">
        <f aca="false">IF(OR($B79="",$H79="",$I79="Hecha",$I79="Cancelada"),"",TEXT($H79,"yyyymmdd")&amp;"-"&amp;COUNTIFS($H$7:$H79,$H79,$I$7:$I79,"&lt;&gt;Hecha",$I$7:$I79,"&lt;&gt;Cancelada"))</f>
        <v/>
      </c>
    </row>
    <row r="80" customFormat="false" ht="15" hidden="false" customHeight="false" outlineLevel="0" collapsed="false">
      <c r="A80" s="25" t="str">
        <f aca="false">IF($B80="","",ROW()-6)</f>
        <v/>
      </c>
      <c r="B80" s="27"/>
      <c r="C80" s="27"/>
      <c r="D80" s="27"/>
      <c r="E80" s="27"/>
      <c r="F80" s="27"/>
      <c r="G80" s="27"/>
      <c r="H80" s="28"/>
      <c r="I80" s="27"/>
      <c r="J80" s="25" t="str">
        <f aca="true">IF(OR($B80="",$H80=""),"",IF(OR($I80="Hecha",$I80="Cancelada"),"-",$H80-TODAY()))</f>
        <v/>
      </c>
      <c r="K80" s="31" t="str">
        <f aca="true">IF($B80="","",IF($I80="Hecha","Hecha",IF($I80="Cancelada","Cancelada",IF($I80="En espera","En espera",IF($H80="","Sin fecha",IF($H80&lt;TODAY(),"Vencida",IF($H80=TODAY(),"Hoy",IF($H80-TODAY()&lt;=7,"Esta semana","Más adelante"))))))))</f>
        <v/>
      </c>
      <c r="L80" s="27"/>
      <c r="M80" s="27"/>
      <c r="N80" s="28"/>
      <c r="O80" s="30" t="str">
        <f aca="false">IF($B80="","",IF(OR($K80="Vencida",$K80="Hoy"),COUNTIF($K$7:$K80,"Vencida")+COUNTIF($K$7:$K80,"Hoy"),""))</f>
        <v/>
      </c>
      <c r="P80" s="30" t="str">
        <f aca="false">IF(OR($B80="",$H80="",$I80="Hecha",$I80="Cancelada"),"",TEXT($H80,"yyyymmdd")&amp;"-"&amp;COUNTIFS($H$7:$H80,$H80,$I$7:$I80,"&lt;&gt;Hecha",$I$7:$I80,"&lt;&gt;Cancelada"))</f>
        <v/>
      </c>
    </row>
    <row r="81" customFormat="false" ht="15" hidden="false" customHeight="false" outlineLevel="0" collapsed="false">
      <c r="A81" s="23" t="str">
        <f aca="false">IF($B81="","",ROW()-6)</f>
        <v/>
      </c>
      <c r="B81" s="27"/>
      <c r="C81" s="27"/>
      <c r="D81" s="27"/>
      <c r="E81" s="27"/>
      <c r="F81" s="27"/>
      <c r="G81" s="27"/>
      <c r="H81" s="28"/>
      <c r="I81" s="27"/>
      <c r="J81" s="23" t="str">
        <f aca="true">IF(OR($B81="",$H81=""),"",IF(OR($I81="Hecha",$I81="Cancelada"),"-",$H81-TODAY()))</f>
        <v/>
      </c>
      <c r="K81" s="29" t="str">
        <f aca="true">IF($B81="","",IF($I81="Hecha","Hecha",IF($I81="Cancelada","Cancelada",IF($I81="En espera","En espera",IF($H81="","Sin fecha",IF($H81&lt;TODAY(),"Vencida",IF($H81=TODAY(),"Hoy",IF($H81-TODAY()&lt;=7,"Esta semana","Más adelante"))))))))</f>
        <v/>
      </c>
      <c r="L81" s="27"/>
      <c r="M81" s="27"/>
      <c r="N81" s="28"/>
      <c r="O81" s="30" t="str">
        <f aca="false">IF($B81="","",IF(OR($K81="Vencida",$K81="Hoy"),COUNTIF($K$7:$K81,"Vencida")+COUNTIF($K$7:$K81,"Hoy"),""))</f>
        <v/>
      </c>
      <c r="P81" s="30" t="str">
        <f aca="false">IF(OR($B81="",$H81="",$I81="Hecha",$I81="Cancelada"),"",TEXT($H81,"yyyymmdd")&amp;"-"&amp;COUNTIFS($H$7:$H81,$H81,$I$7:$I81,"&lt;&gt;Hecha",$I$7:$I81,"&lt;&gt;Cancelada"))</f>
        <v/>
      </c>
    </row>
    <row r="82" customFormat="false" ht="15" hidden="false" customHeight="false" outlineLevel="0" collapsed="false">
      <c r="A82" s="25" t="str">
        <f aca="false">IF($B82="","",ROW()-6)</f>
        <v/>
      </c>
      <c r="B82" s="27"/>
      <c r="C82" s="27"/>
      <c r="D82" s="27"/>
      <c r="E82" s="27"/>
      <c r="F82" s="27"/>
      <c r="G82" s="27"/>
      <c r="H82" s="28"/>
      <c r="I82" s="27"/>
      <c r="J82" s="25" t="str">
        <f aca="true">IF(OR($B82="",$H82=""),"",IF(OR($I82="Hecha",$I82="Cancelada"),"-",$H82-TODAY()))</f>
        <v/>
      </c>
      <c r="K82" s="31" t="str">
        <f aca="true">IF($B82="","",IF($I82="Hecha","Hecha",IF($I82="Cancelada","Cancelada",IF($I82="En espera","En espera",IF($H82="","Sin fecha",IF($H82&lt;TODAY(),"Vencida",IF($H82=TODAY(),"Hoy",IF($H82-TODAY()&lt;=7,"Esta semana","Más adelante"))))))))</f>
        <v/>
      </c>
      <c r="L82" s="27"/>
      <c r="M82" s="27"/>
      <c r="N82" s="28"/>
      <c r="O82" s="30" t="str">
        <f aca="false">IF($B82="","",IF(OR($K82="Vencida",$K82="Hoy"),COUNTIF($K$7:$K82,"Vencida")+COUNTIF($K$7:$K82,"Hoy"),""))</f>
        <v/>
      </c>
      <c r="P82" s="30" t="str">
        <f aca="false">IF(OR($B82="",$H82="",$I82="Hecha",$I82="Cancelada"),"",TEXT($H82,"yyyymmdd")&amp;"-"&amp;COUNTIFS($H$7:$H82,$H82,$I$7:$I82,"&lt;&gt;Hecha",$I$7:$I82,"&lt;&gt;Cancelada"))</f>
        <v/>
      </c>
    </row>
    <row r="83" customFormat="false" ht="15" hidden="false" customHeight="false" outlineLevel="0" collapsed="false">
      <c r="A83" s="23" t="str">
        <f aca="false">IF($B83="","",ROW()-6)</f>
        <v/>
      </c>
      <c r="B83" s="27"/>
      <c r="C83" s="27"/>
      <c r="D83" s="27"/>
      <c r="E83" s="27"/>
      <c r="F83" s="27"/>
      <c r="G83" s="27"/>
      <c r="H83" s="28"/>
      <c r="I83" s="27"/>
      <c r="J83" s="23" t="str">
        <f aca="true">IF(OR($B83="",$H83=""),"",IF(OR($I83="Hecha",$I83="Cancelada"),"-",$H83-TODAY()))</f>
        <v/>
      </c>
      <c r="K83" s="29" t="str">
        <f aca="true">IF($B83="","",IF($I83="Hecha","Hecha",IF($I83="Cancelada","Cancelada",IF($I83="En espera","En espera",IF($H83="","Sin fecha",IF($H83&lt;TODAY(),"Vencida",IF($H83=TODAY(),"Hoy",IF($H83-TODAY()&lt;=7,"Esta semana","Más adelante"))))))))</f>
        <v/>
      </c>
      <c r="L83" s="27"/>
      <c r="M83" s="27"/>
      <c r="N83" s="28"/>
      <c r="O83" s="30" t="str">
        <f aca="false">IF($B83="","",IF(OR($K83="Vencida",$K83="Hoy"),COUNTIF($K$7:$K83,"Vencida")+COUNTIF($K$7:$K83,"Hoy"),""))</f>
        <v/>
      </c>
      <c r="P83" s="30" t="str">
        <f aca="false">IF(OR($B83="",$H83="",$I83="Hecha",$I83="Cancelada"),"",TEXT($H83,"yyyymmdd")&amp;"-"&amp;COUNTIFS($H$7:$H83,$H83,$I$7:$I83,"&lt;&gt;Hecha",$I$7:$I83,"&lt;&gt;Cancelada"))</f>
        <v/>
      </c>
    </row>
    <row r="84" customFormat="false" ht="15" hidden="false" customHeight="false" outlineLevel="0" collapsed="false">
      <c r="A84" s="25" t="str">
        <f aca="false">IF($B84="","",ROW()-6)</f>
        <v/>
      </c>
      <c r="B84" s="27"/>
      <c r="C84" s="27"/>
      <c r="D84" s="27"/>
      <c r="E84" s="27"/>
      <c r="F84" s="27"/>
      <c r="G84" s="27"/>
      <c r="H84" s="28"/>
      <c r="I84" s="27"/>
      <c r="J84" s="25" t="str">
        <f aca="true">IF(OR($B84="",$H84=""),"",IF(OR($I84="Hecha",$I84="Cancelada"),"-",$H84-TODAY()))</f>
        <v/>
      </c>
      <c r="K84" s="31" t="str">
        <f aca="true">IF($B84="","",IF($I84="Hecha","Hecha",IF($I84="Cancelada","Cancelada",IF($I84="En espera","En espera",IF($H84="","Sin fecha",IF($H84&lt;TODAY(),"Vencida",IF($H84=TODAY(),"Hoy",IF($H84-TODAY()&lt;=7,"Esta semana","Más adelante"))))))))</f>
        <v/>
      </c>
      <c r="L84" s="27"/>
      <c r="M84" s="27"/>
      <c r="N84" s="28"/>
      <c r="O84" s="30" t="str">
        <f aca="false">IF($B84="","",IF(OR($K84="Vencida",$K84="Hoy"),COUNTIF($K$7:$K84,"Vencida")+COUNTIF($K$7:$K84,"Hoy"),""))</f>
        <v/>
      </c>
      <c r="P84" s="30" t="str">
        <f aca="false">IF(OR($B84="",$H84="",$I84="Hecha",$I84="Cancelada"),"",TEXT($H84,"yyyymmdd")&amp;"-"&amp;COUNTIFS($H$7:$H84,$H84,$I$7:$I84,"&lt;&gt;Hecha",$I$7:$I84,"&lt;&gt;Cancelada"))</f>
        <v/>
      </c>
    </row>
    <row r="85" customFormat="false" ht="15" hidden="false" customHeight="false" outlineLevel="0" collapsed="false">
      <c r="A85" s="23" t="str">
        <f aca="false">IF($B85="","",ROW()-6)</f>
        <v/>
      </c>
      <c r="B85" s="27"/>
      <c r="C85" s="27"/>
      <c r="D85" s="27"/>
      <c r="E85" s="27"/>
      <c r="F85" s="27"/>
      <c r="G85" s="27"/>
      <c r="H85" s="28"/>
      <c r="I85" s="27"/>
      <c r="J85" s="23" t="str">
        <f aca="true">IF(OR($B85="",$H85=""),"",IF(OR($I85="Hecha",$I85="Cancelada"),"-",$H85-TODAY()))</f>
        <v/>
      </c>
      <c r="K85" s="29" t="str">
        <f aca="true">IF($B85="","",IF($I85="Hecha","Hecha",IF($I85="Cancelada","Cancelada",IF($I85="En espera","En espera",IF($H85="","Sin fecha",IF($H85&lt;TODAY(),"Vencida",IF($H85=TODAY(),"Hoy",IF($H85-TODAY()&lt;=7,"Esta semana","Más adelante"))))))))</f>
        <v/>
      </c>
      <c r="L85" s="27"/>
      <c r="M85" s="27"/>
      <c r="N85" s="28"/>
      <c r="O85" s="30" t="str">
        <f aca="false">IF($B85="","",IF(OR($K85="Vencida",$K85="Hoy"),COUNTIF($K$7:$K85,"Vencida")+COUNTIF($K$7:$K85,"Hoy"),""))</f>
        <v/>
      </c>
      <c r="P85" s="30" t="str">
        <f aca="false">IF(OR($B85="",$H85="",$I85="Hecha",$I85="Cancelada"),"",TEXT($H85,"yyyymmdd")&amp;"-"&amp;COUNTIFS($H$7:$H85,$H85,$I$7:$I85,"&lt;&gt;Hecha",$I$7:$I85,"&lt;&gt;Cancelada"))</f>
        <v/>
      </c>
    </row>
    <row r="86" customFormat="false" ht="15" hidden="false" customHeight="false" outlineLevel="0" collapsed="false">
      <c r="A86" s="25" t="str">
        <f aca="false">IF($B86="","",ROW()-6)</f>
        <v/>
      </c>
      <c r="B86" s="27"/>
      <c r="C86" s="27"/>
      <c r="D86" s="27"/>
      <c r="E86" s="27"/>
      <c r="F86" s="27"/>
      <c r="G86" s="27"/>
      <c r="H86" s="28"/>
      <c r="I86" s="27"/>
      <c r="J86" s="25" t="str">
        <f aca="true">IF(OR($B86="",$H86=""),"",IF(OR($I86="Hecha",$I86="Cancelada"),"-",$H86-TODAY()))</f>
        <v/>
      </c>
      <c r="K86" s="31" t="str">
        <f aca="true">IF($B86="","",IF($I86="Hecha","Hecha",IF($I86="Cancelada","Cancelada",IF($I86="En espera","En espera",IF($H86="","Sin fecha",IF($H86&lt;TODAY(),"Vencida",IF($H86=TODAY(),"Hoy",IF($H86-TODAY()&lt;=7,"Esta semana","Más adelante"))))))))</f>
        <v/>
      </c>
      <c r="L86" s="27"/>
      <c r="M86" s="27"/>
      <c r="N86" s="28"/>
      <c r="O86" s="30" t="str">
        <f aca="false">IF($B86="","",IF(OR($K86="Vencida",$K86="Hoy"),COUNTIF($K$7:$K86,"Vencida")+COUNTIF($K$7:$K86,"Hoy"),""))</f>
        <v/>
      </c>
      <c r="P86" s="30" t="str">
        <f aca="false">IF(OR($B86="",$H86="",$I86="Hecha",$I86="Cancelada"),"",TEXT($H86,"yyyymmdd")&amp;"-"&amp;COUNTIFS($H$7:$H86,$H86,$I$7:$I86,"&lt;&gt;Hecha",$I$7:$I86,"&lt;&gt;Cancelada"))</f>
        <v/>
      </c>
    </row>
    <row r="87" customFormat="false" ht="15" hidden="false" customHeight="false" outlineLevel="0" collapsed="false">
      <c r="A87" s="23" t="str">
        <f aca="false">IF($B87="","",ROW()-6)</f>
        <v/>
      </c>
      <c r="B87" s="27"/>
      <c r="C87" s="27"/>
      <c r="D87" s="27"/>
      <c r="E87" s="27"/>
      <c r="F87" s="27"/>
      <c r="G87" s="27"/>
      <c r="H87" s="28"/>
      <c r="I87" s="27"/>
      <c r="J87" s="23" t="str">
        <f aca="true">IF(OR($B87="",$H87=""),"",IF(OR($I87="Hecha",$I87="Cancelada"),"-",$H87-TODAY()))</f>
        <v/>
      </c>
      <c r="K87" s="29" t="str">
        <f aca="true">IF($B87="","",IF($I87="Hecha","Hecha",IF($I87="Cancelada","Cancelada",IF($I87="En espera","En espera",IF($H87="","Sin fecha",IF($H87&lt;TODAY(),"Vencida",IF($H87=TODAY(),"Hoy",IF($H87-TODAY()&lt;=7,"Esta semana","Más adelante"))))))))</f>
        <v/>
      </c>
      <c r="L87" s="27"/>
      <c r="M87" s="27"/>
      <c r="N87" s="28"/>
      <c r="O87" s="30" t="str">
        <f aca="false">IF($B87="","",IF(OR($K87="Vencida",$K87="Hoy"),COUNTIF($K$7:$K87,"Vencida")+COUNTIF($K$7:$K87,"Hoy"),""))</f>
        <v/>
      </c>
      <c r="P87" s="30" t="str">
        <f aca="false">IF(OR($B87="",$H87="",$I87="Hecha",$I87="Cancelada"),"",TEXT($H87,"yyyymmdd")&amp;"-"&amp;COUNTIFS($H$7:$H87,$H87,$I$7:$I87,"&lt;&gt;Hecha",$I$7:$I87,"&lt;&gt;Cancelada"))</f>
        <v/>
      </c>
    </row>
    <row r="88" customFormat="false" ht="15" hidden="false" customHeight="false" outlineLevel="0" collapsed="false">
      <c r="A88" s="25" t="str">
        <f aca="false">IF($B88="","",ROW()-6)</f>
        <v/>
      </c>
      <c r="B88" s="27"/>
      <c r="C88" s="27"/>
      <c r="D88" s="27"/>
      <c r="E88" s="27"/>
      <c r="F88" s="27"/>
      <c r="G88" s="27"/>
      <c r="H88" s="28"/>
      <c r="I88" s="27"/>
      <c r="J88" s="25" t="str">
        <f aca="true">IF(OR($B88="",$H88=""),"",IF(OR($I88="Hecha",$I88="Cancelada"),"-",$H88-TODAY()))</f>
        <v/>
      </c>
      <c r="K88" s="31" t="str">
        <f aca="true">IF($B88="","",IF($I88="Hecha","Hecha",IF($I88="Cancelada","Cancelada",IF($I88="En espera","En espera",IF($H88="","Sin fecha",IF($H88&lt;TODAY(),"Vencida",IF($H88=TODAY(),"Hoy",IF($H88-TODAY()&lt;=7,"Esta semana","Más adelante"))))))))</f>
        <v/>
      </c>
      <c r="L88" s="27"/>
      <c r="M88" s="27"/>
      <c r="N88" s="28"/>
      <c r="O88" s="30" t="str">
        <f aca="false">IF($B88="","",IF(OR($K88="Vencida",$K88="Hoy"),COUNTIF($K$7:$K88,"Vencida")+COUNTIF($K$7:$K88,"Hoy"),""))</f>
        <v/>
      </c>
      <c r="P88" s="30" t="str">
        <f aca="false">IF(OR($B88="",$H88="",$I88="Hecha",$I88="Cancelada"),"",TEXT($H88,"yyyymmdd")&amp;"-"&amp;COUNTIFS($H$7:$H88,$H88,$I$7:$I88,"&lt;&gt;Hecha",$I$7:$I88,"&lt;&gt;Cancelada"))</f>
        <v/>
      </c>
    </row>
    <row r="89" customFormat="false" ht="15" hidden="false" customHeight="false" outlineLevel="0" collapsed="false">
      <c r="A89" s="23" t="str">
        <f aca="false">IF($B89="","",ROW()-6)</f>
        <v/>
      </c>
      <c r="B89" s="27"/>
      <c r="C89" s="27"/>
      <c r="D89" s="27"/>
      <c r="E89" s="27"/>
      <c r="F89" s="27"/>
      <c r="G89" s="27"/>
      <c r="H89" s="28"/>
      <c r="I89" s="27"/>
      <c r="J89" s="23" t="str">
        <f aca="true">IF(OR($B89="",$H89=""),"",IF(OR($I89="Hecha",$I89="Cancelada"),"-",$H89-TODAY()))</f>
        <v/>
      </c>
      <c r="K89" s="29" t="str">
        <f aca="true">IF($B89="","",IF($I89="Hecha","Hecha",IF($I89="Cancelada","Cancelada",IF($I89="En espera","En espera",IF($H89="","Sin fecha",IF($H89&lt;TODAY(),"Vencida",IF($H89=TODAY(),"Hoy",IF($H89-TODAY()&lt;=7,"Esta semana","Más adelante"))))))))</f>
        <v/>
      </c>
      <c r="L89" s="27"/>
      <c r="M89" s="27"/>
      <c r="N89" s="28"/>
      <c r="O89" s="30" t="str">
        <f aca="false">IF($B89="","",IF(OR($K89="Vencida",$K89="Hoy"),COUNTIF($K$7:$K89,"Vencida")+COUNTIF($K$7:$K89,"Hoy"),""))</f>
        <v/>
      </c>
      <c r="P89" s="30" t="str">
        <f aca="false">IF(OR($B89="",$H89="",$I89="Hecha",$I89="Cancelada"),"",TEXT($H89,"yyyymmdd")&amp;"-"&amp;COUNTIFS($H$7:$H89,$H89,$I$7:$I89,"&lt;&gt;Hecha",$I$7:$I89,"&lt;&gt;Cancelada"))</f>
        <v/>
      </c>
    </row>
    <row r="90" customFormat="false" ht="15" hidden="false" customHeight="false" outlineLevel="0" collapsed="false">
      <c r="A90" s="25" t="str">
        <f aca="false">IF($B90="","",ROW()-6)</f>
        <v/>
      </c>
      <c r="B90" s="27"/>
      <c r="C90" s="27"/>
      <c r="D90" s="27"/>
      <c r="E90" s="27"/>
      <c r="F90" s="27"/>
      <c r="G90" s="27"/>
      <c r="H90" s="28"/>
      <c r="I90" s="27"/>
      <c r="J90" s="25" t="str">
        <f aca="true">IF(OR($B90="",$H90=""),"",IF(OR($I90="Hecha",$I90="Cancelada"),"-",$H90-TODAY()))</f>
        <v/>
      </c>
      <c r="K90" s="31" t="str">
        <f aca="true">IF($B90="","",IF($I90="Hecha","Hecha",IF($I90="Cancelada","Cancelada",IF($I90="En espera","En espera",IF($H90="","Sin fecha",IF($H90&lt;TODAY(),"Vencida",IF($H90=TODAY(),"Hoy",IF($H90-TODAY()&lt;=7,"Esta semana","Más adelante"))))))))</f>
        <v/>
      </c>
      <c r="L90" s="27"/>
      <c r="M90" s="27"/>
      <c r="N90" s="28"/>
      <c r="O90" s="30" t="str">
        <f aca="false">IF($B90="","",IF(OR($K90="Vencida",$K90="Hoy"),COUNTIF($K$7:$K90,"Vencida")+COUNTIF($K$7:$K90,"Hoy"),""))</f>
        <v/>
      </c>
      <c r="P90" s="30" t="str">
        <f aca="false">IF(OR($B90="",$H90="",$I90="Hecha",$I90="Cancelada"),"",TEXT($H90,"yyyymmdd")&amp;"-"&amp;COUNTIFS($H$7:$H90,$H90,$I$7:$I90,"&lt;&gt;Hecha",$I$7:$I90,"&lt;&gt;Cancelada"))</f>
        <v/>
      </c>
    </row>
    <row r="91" customFormat="false" ht="15" hidden="false" customHeight="false" outlineLevel="0" collapsed="false">
      <c r="A91" s="23" t="str">
        <f aca="false">IF($B91="","",ROW()-6)</f>
        <v/>
      </c>
      <c r="B91" s="27"/>
      <c r="C91" s="27"/>
      <c r="D91" s="27"/>
      <c r="E91" s="27"/>
      <c r="F91" s="27"/>
      <c r="G91" s="27"/>
      <c r="H91" s="28"/>
      <c r="I91" s="27"/>
      <c r="J91" s="23" t="str">
        <f aca="true">IF(OR($B91="",$H91=""),"",IF(OR($I91="Hecha",$I91="Cancelada"),"-",$H91-TODAY()))</f>
        <v/>
      </c>
      <c r="K91" s="29" t="str">
        <f aca="true">IF($B91="","",IF($I91="Hecha","Hecha",IF($I91="Cancelada","Cancelada",IF($I91="En espera","En espera",IF($H91="","Sin fecha",IF($H91&lt;TODAY(),"Vencida",IF($H91=TODAY(),"Hoy",IF($H91-TODAY()&lt;=7,"Esta semana","Más adelante"))))))))</f>
        <v/>
      </c>
      <c r="L91" s="27"/>
      <c r="M91" s="27"/>
      <c r="N91" s="28"/>
      <c r="O91" s="30" t="str">
        <f aca="false">IF($B91="","",IF(OR($K91="Vencida",$K91="Hoy"),COUNTIF($K$7:$K91,"Vencida")+COUNTIF($K$7:$K91,"Hoy"),""))</f>
        <v/>
      </c>
      <c r="P91" s="30" t="str">
        <f aca="false">IF(OR($B91="",$H91="",$I91="Hecha",$I91="Cancelada"),"",TEXT($H91,"yyyymmdd")&amp;"-"&amp;COUNTIFS($H$7:$H91,$H91,$I$7:$I91,"&lt;&gt;Hecha",$I$7:$I91,"&lt;&gt;Cancelada"))</f>
        <v/>
      </c>
    </row>
    <row r="92" customFormat="false" ht="15" hidden="false" customHeight="false" outlineLevel="0" collapsed="false">
      <c r="A92" s="25" t="str">
        <f aca="false">IF($B92="","",ROW()-6)</f>
        <v/>
      </c>
      <c r="B92" s="27"/>
      <c r="C92" s="27"/>
      <c r="D92" s="27"/>
      <c r="E92" s="27"/>
      <c r="F92" s="27"/>
      <c r="G92" s="27"/>
      <c r="H92" s="28"/>
      <c r="I92" s="27"/>
      <c r="J92" s="25" t="str">
        <f aca="true">IF(OR($B92="",$H92=""),"",IF(OR($I92="Hecha",$I92="Cancelada"),"-",$H92-TODAY()))</f>
        <v/>
      </c>
      <c r="K92" s="31" t="str">
        <f aca="true">IF($B92="","",IF($I92="Hecha","Hecha",IF($I92="Cancelada","Cancelada",IF($I92="En espera","En espera",IF($H92="","Sin fecha",IF($H92&lt;TODAY(),"Vencida",IF($H92=TODAY(),"Hoy",IF($H92-TODAY()&lt;=7,"Esta semana","Más adelante"))))))))</f>
        <v/>
      </c>
      <c r="L92" s="27"/>
      <c r="M92" s="27"/>
      <c r="N92" s="28"/>
      <c r="O92" s="30" t="str">
        <f aca="false">IF($B92="","",IF(OR($K92="Vencida",$K92="Hoy"),COUNTIF($K$7:$K92,"Vencida")+COUNTIF($K$7:$K92,"Hoy"),""))</f>
        <v/>
      </c>
      <c r="P92" s="30" t="str">
        <f aca="false">IF(OR($B92="",$H92="",$I92="Hecha",$I92="Cancelada"),"",TEXT($H92,"yyyymmdd")&amp;"-"&amp;COUNTIFS($H$7:$H92,$H92,$I$7:$I92,"&lt;&gt;Hecha",$I$7:$I92,"&lt;&gt;Cancelada"))</f>
        <v/>
      </c>
    </row>
    <row r="93" customFormat="false" ht="15" hidden="false" customHeight="false" outlineLevel="0" collapsed="false">
      <c r="A93" s="23" t="str">
        <f aca="false">IF($B93="","",ROW()-6)</f>
        <v/>
      </c>
      <c r="B93" s="27"/>
      <c r="C93" s="27"/>
      <c r="D93" s="27"/>
      <c r="E93" s="27"/>
      <c r="F93" s="27"/>
      <c r="G93" s="27"/>
      <c r="H93" s="28"/>
      <c r="I93" s="27"/>
      <c r="J93" s="23" t="str">
        <f aca="true">IF(OR($B93="",$H93=""),"",IF(OR($I93="Hecha",$I93="Cancelada"),"-",$H93-TODAY()))</f>
        <v/>
      </c>
      <c r="K93" s="29" t="str">
        <f aca="true">IF($B93="","",IF($I93="Hecha","Hecha",IF($I93="Cancelada","Cancelada",IF($I93="En espera","En espera",IF($H93="","Sin fecha",IF($H93&lt;TODAY(),"Vencida",IF($H93=TODAY(),"Hoy",IF($H93-TODAY()&lt;=7,"Esta semana","Más adelante"))))))))</f>
        <v/>
      </c>
      <c r="L93" s="27"/>
      <c r="M93" s="27"/>
      <c r="N93" s="28"/>
      <c r="O93" s="30" t="str">
        <f aca="false">IF($B93="","",IF(OR($K93="Vencida",$K93="Hoy"),COUNTIF($K$7:$K93,"Vencida")+COUNTIF($K$7:$K93,"Hoy"),""))</f>
        <v/>
      </c>
      <c r="P93" s="30" t="str">
        <f aca="false">IF(OR($B93="",$H93="",$I93="Hecha",$I93="Cancelada"),"",TEXT($H93,"yyyymmdd")&amp;"-"&amp;COUNTIFS($H$7:$H93,$H93,$I$7:$I93,"&lt;&gt;Hecha",$I$7:$I93,"&lt;&gt;Cancelada"))</f>
        <v/>
      </c>
    </row>
    <row r="94" customFormat="false" ht="15" hidden="false" customHeight="false" outlineLevel="0" collapsed="false">
      <c r="A94" s="25" t="str">
        <f aca="false">IF($B94="","",ROW()-6)</f>
        <v/>
      </c>
      <c r="B94" s="27"/>
      <c r="C94" s="27"/>
      <c r="D94" s="27"/>
      <c r="E94" s="27"/>
      <c r="F94" s="27"/>
      <c r="G94" s="27"/>
      <c r="H94" s="28"/>
      <c r="I94" s="27"/>
      <c r="J94" s="25" t="str">
        <f aca="true">IF(OR($B94="",$H94=""),"",IF(OR($I94="Hecha",$I94="Cancelada"),"-",$H94-TODAY()))</f>
        <v/>
      </c>
      <c r="K94" s="31" t="str">
        <f aca="true">IF($B94="","",IF($I94="Hecha","Hecha",IF($I94="Cancelada","Cancelada",IF($I94="En espera","En espera",IF($H94="","Sin fecha",IF($H94&lt;TODAY(),"Vencida",IF($H94=TODAY(),"Hoy",IF($H94-TODAY()&lt;=7,"Esta semana","Más adelante"))))))))</f>
        <v/>
      </c>
      <c r="L94" s="27"/>
      <c r="M94" s="27"/>
      <c r="N94" s="28"/>
      <c r="O94" s="30" t="str">
        <f aca="false">IF($B94="","",IF(OR($K94="Vencida",$K94="Hoy"),COUNTIF($K$7:$K94,"Vencida")+COUNTIF($K$7:$K94,"Hoy"),""))</f>
        <v/>
      </c>
      <c r="P94" s="30" t="str">
        <f aca="false">IF(OR($B94="",$H94="",$I94="Hecha",$I94="Cancelada"),"",TEXT($H94,"yyyymmdd")&amp;"-"&amp;COUNTIFS($H$7:$H94,$H94,$I$7:$I94,"&lt;&gt;Hecha",$I$7:$I94,"&lt;&gt;Cancelada"))</f>
        <v/>
      </c>
    </row>
    <row r="95" customFormat="false" ht="15" hidden="false" customHeight="false" outlineLevel="0" collapsed="false">
      <c r="A95" s="23" t="str">
        <f aca="false">IF($B95="","",ROW()-6)</f>
        <v/>
      </c>
      <c r="B95" s="27"/>
      <c r="C95" s="27"/>
      <c r="D95" s="27"/>
      <c r="E95" s="27"/>
      <c r="F95" s="27"/>
      <c r="G95" s="27"/>
      <c r="H95" s="28"/>
      <c r="I95" s="27"/>
      <c r="J95" s="23" t="str">
        <f aca="true">IF(OR($B95="",$H95=""),"",IF(OR($I95="Hecha",$I95="Cancelada"),"-",$H95-TODAY()))</f>
        <v/>
      </c>
      <c r="K95" s="29" t="str">
        <f aca="true">IF($B95="","",IF($I95="Hecha","Hecha",IF($I95="Cancelada","Cancelada",IF($I95="En espera","En espera",IF($H95="","Sin fecha",IF($H95&lt;TODAY(),"Vencida",IF($H95=TODAY(),"Hoy",IF($H95-TODAY()&lt;=7,"Esta semana","Más adelante"))))))))</f>
        <v/>
      </c>
      <c r="L95" s="27"/>
      <c r="M95" s="27"/>
      <c r="N95" s="28"/>
      <c r="O95" s="30" t="str">
        <f aca="false">IF($B95="","",IF(OR($K95="Vencida",$K95="Hoy"),COUNTIF($K$7:$K95,"Vencida")+COUNTIF($K$7:$K95,"Hoy"),""))</f>
        <v/>
      </c>
      <c r="P95" s="30" t="str">
        <f aca="false">IF(OR($B95="",$H95="",$I95="Hecha",$I95="Cancelada"),"",TEXT($H95,"yyyymmdd")&amp;"-"&amp;COUNTIFS($H$7:$H95,$H95,$I$7:$I95,"&lt;&gt;Hecha",$I$7:$I95,"&lt;&gt;Cancelada"))</f>
        <v/>
      </c>
    </row>
    <row r="96" customFormat="false" ht="15" hidden="false" customHeight="false" outlineLevel="0" collapsed="false">
      <c r="A96" s="25" t="str">
        <f aca="false">IF($B96="","",ROW()-6)</f>
        <v/>
      </c>
      <c r="B96" s="27"/>
      <c r="C96" s="27"/>
      <c r="D96" s="27"/>
      <c r="E96" s="27"/>
      <c r="F96" s="27"/>
      <c r="G96" s="27"/>
      <c r="H96" s="28"/>
      <c r="I96" s="27"/>
      <c r="J96" s="25" t="str">
        <f aca="true">IF(OR($B96="",$H96=""),"",IF(OR($I96="Hecha",$I96="Cancelada"),"-",$H96-TODAY()))</f>
        <v/>
      </c>
      <c r="K96" s="31" t="str">
        <f aca="true">IF($B96="","",IF($I96="Hecha","Hecha",IF($I96="Cancelada","Cancelada",IF($I96="En espera","En espera",IF($H96="","Sin fecha",IF($H96&lt;TODAY(),"Vencida",IF($H96=TODAY(),"Hoy",IF($H96-TODAY()&lt;=7,"Esta semana","Más adelante"))))))))</f>
        <v/>
      </c>
      <c r="L96" s="27"/>
      <c r="M96" s="27"/>
      <c r="N96" s="28"/>
      <c r="O96" s="30" t="str">
        <f aca="false">IF($B96="","",IF(OR($K96="Vencida",$K96="Hoy"),COUNTIF($K$7:$K96,"Vencida")+COUNTIF($K$7:$K96,"Hoy"),""))</f>
        <v/>
      </c>
      <c r="P96" s="30" t="str">
        <f aca="false">IF(OR($B96="",$H96="",$I96="Hecha",$I96="Cancelada"),"",TEXT($H96,"yyyymmdd")&amp;"-"&amp;COUNTIFS($H$7:$H96,$H96,$I$7:$I96,"&lt;&gt;Hecha",$I$7:$I96,"&lt;&gt;Cancelada"))</f>
        <v/>
      </c>
    </row>
    <row r="97" customFormat="false" ht="15" hidden="false" customHeight="false" outlineLevel="0" collapsed="false">
      <c r="A97" s="23" t="str">
        <f aca="false">IF($B97="","",ROW()-6)</f>
        <v/>
      </c>
      <c r="B97" s="27"/>
      <c r="C97" s="27"/>
      <c r="D97" s="27"/>
      <c r="E97" s="27"/>
      <c r="F97" s="27"/>
      <c r="G97" s="27"/>
      <c r="H97" s="28"/>
      <c r="I97" s="27"/>
      <c r="J97" s="23" t="str">
        <f aca="true">IF(OR($B97="",$H97=""),"",IF(OR($I97="Hecha",$I97="Cancelada"),"-",$H97-TODAY()))</f>
        <v/>
      </c>
      <c r="K97" s="29" t="str">
        <f aca="true">IF($B97="","",IF($I97="Hecha","Hecha",IF($I97="Cancelada","Cancelada",IF($I97="En espera","En espera",IF($H97="","Sin fecha",IF($H97&lt;TODAY(),"Vencida",IF($H97=TODAY(),"Hoy",IF($H97-TODAY()&lt;=7,"Esta semana","Más adelante"))))))))</f>
        <v/>
      </c>
      <c r="L97" s="27"/>
      <c r="M97" s="27"/>
      <c r="N97" s="28"/>
      <c r="O97" s="30" t="str">
        <f aca="false">IF($B97="","",IF(OR($K97="Vencida",$K97="Hoy"),COUNTIF($K$7:$K97,"Vencida")+COUNTIF($K$7:$K97,"Hoy"),""))</f>
        <v/>
      </c>
      <c r="P97" s="30" t="str">
        <f aca="false">IF(OR($B97="",$H97="",$I97="Hecha",$I97="Cancelada"),"",TEXT($H97,"yyyymmdd")&amp;"-"&amp;COUNTIFS($H$7:$H97,$H97,$I$7:$I97,"&lt;&gt;Hecha",$I$7:$I97,"&lt;&gt;Cancelada"))</f>
        <v/>
      </c>
    </row>
    <row r="98" customFormat="false" ht="15" hidden="false" customHeight="false" outlineLevel="0" collapsed="false">
      <c r="A98" s="25" t="str">
        <f aca="false">IF($B98="","",ROW()-6)</f>
        <v/>
      </c>
      <c r="B98" s="27"/>
      <c r="C98" s="27"/>
      <c r="D98" s="27"/>
      <c r="E98" s="27"/>
      <c r="F98" s="27"/>
      <c r="G98" s="27"/>
      <c r="H98" s="28"/>
      <c r="I98" s="27"/>
      <c r="J98" s="25" t="str">
        <f aca="true">IF(OR($B98="",$H98=""),"",IF(OR($I98="Hecha",$I98="Cancelada"),"-",$H98-TODAY()))</f>
        <v/>
      </c>
      <c r="K98" s="31" t="str">
        <f aca="true">IF($B98="","",IF($I98="Hecha","Hecha",IF($I98="Cancelada","Cancelada",IF($I98="En espera","En espera",IF($H98="","Sin fecha",IF($H98&lt;TODAY(),"Vencida",IF($H98=TODAY(),"Hoy",IF($H98-TODAY()&lt;=7,"Esta semana","Más adelante"))))))))</f>
        <v/>
      </c>
      <c r="L98" s="27"/>
      <c r="M98" s="27"/>
      <c r="N98" s="28"/>
      <c r="O98" s="30" t="str">
        <f aca="false">IF($B98="","",IF(OR($K98="Vencida",$K98="Hoy"),COUNTIF($K$7:$K98,"Vencida")+COUNTIF($K$7:$K98,"Hoy"),""))</f>
        <v/>
      </c>
      <c r="P98" s="30" t="str">
        <f aca="false">IF(OR($B98="",$H98="",$I98="Hecha",$I98="Cancelada"),"",TEXT($H98,"yyyymmdd")&amp;"-"&amp;COUNTIFS($H$7:$H98,$H98,$I$7:$I98,"&lt;&gt;Hecha",$I$7:$I98,"&lt;&gt;Cancelada"))</f>
        <v/>
      </c>
    </row>
    <row r="99" customFormat="false" ht="15" hidden="false" customHeight="false" outlineLevel="0" collapsed="false">
      <c r="A99" s="23" t="str">
        <f aca="false">IF($B99="","",ROW()-6)</f>
        <v/>
      </c>
      <c r="B99" s="27"/>
      <c r="C99" s="27"/>
      <c r="D99" s="27"/>
      <c r="E99" s="27"/>
      <c r="F99" s="27"/>
      <c r="G99" s="27"/>
      <c r="H99" s="28"/>
      <c r="I99" s="27"/>
      <c r="J99" s="23" t="str">
        <f aca="true">IF(OR($B99="",$H99=""),"",IF(OR($I99="Hecha",$I99="Cancelada"),"-",$H99-TODAY()))</f>
        <v/>
      </c>
      <c r="K99" s="29" t="str">
        <f aca="true">IF($B99="","",IF($I99="Hecha","Hecha",IF($I99="Cancelada","Cancelada",IF($I99="En espera","En espera",IF($H99="","Sin fecha",IF($H99&lt;TODAY(),"Vencida",IF($H99=TODAY(),"Hoy",IF($H99-TODAY()&lt;=7,"Esta semana","Más adelante"))))))))</f>
        <v/>
      </c>
      <c r="L99" s="27"/>
      <c r="M99" s="27"/>
      <c r="N99" s="28"/>
      <c r="O99" s="30" t="str">
        <f aca="false">IF($B99="","",IF(OR($K99="Vencida",$K99="Hoy"),COUNTIF($K$7:$K99,"Vencida")+COUNTIF($K$7:$K99,"Hoy"),""))</f>
        <v/>
      </c>
      <c r="P99" s="30" t="str">
        <f aca="false">IF(OR($B99="",$H99="",$I99="Hecha",$I99="Cancelada"),"",TEXT($H99,"yyyymmdd")&amp;"-"&amp;COUNTIFS($H$7:$H99,$H99,$I$7:$I99,"&lt;&gt;Hecha",$I$7:$I99,"&lt;&gt;Cancelada"))</f>
        <v/>
      </c>
    </row>
    <row r="100" customFormat="false" ht="15" hidden="false" customHeight="false" outlineLevel="0" collapsed="false">
      <c r="A100" s="25" t="str">
        <f aca="false">IF($B100="","",ROW()-6)</f>
        <v/>
      </c>
      <c r="B100" s="27"/>
      <c r="C100" s="27"/>
      <c r="D100" s="27"/>
      <c r="E100" s="27"/>
      <c r="F100" s="27"/>
      <c r="G100" s="27"/>
      <c r="H100" s="28"/>
      <c r="I100" s="27"/>
      <c r="J100" s="25" t="str">
        <f aca="true">IF(OR($B100="",$H100=""),"",IF(OR($I100="Hecha",$I100="Cancelada"),"-",$H100-TODAY()))</f>
        <v/>
      </c>
      <c r="K100" s="31" t="str">
        <f aca="true">IF($B100="","",IF($I100="Hecha","Hecha",IF($I100="Cancelada","Cancelada",IF($I100="En espera","En espera",IF($H100="","Sin fecha",IF($H100&lt;TODAY(),"Vencida",IF($H100=TODAY(),"Hoy",IF($H100-TODAY()&lt;=7,"Esta semana","Más adelante"))))))))</f>
        <v/>
      </c>
      <c r="L100" s="27"/>
      <c r="M100" s="27"/>
      <c r="N100" s="28"/>
      <c r="O100" s="30" t="str">
        <f aca="false">IF($B100="","",IF(OR($K100="Vencida",$K100="Hoy"),COUNTIF($K$7:$K100,"Vencida")+COUNTIF($K$7:$K100,"Hoy"),""))</f>
        <v/>
      </c>
      <c r="P100" s="30" t="str">
        <f aca="false">IF(OR($B100="",$H100="",$I100="Hecha",$I100="Cancelada"),"",TEXT($H100,"yyyymmdd")&amp;"-"&amp;COUNTIFS($H$7:$H100,$H100,$I$7:$I100,"&lt;&gt;Hecha",$I$7:$I100,"&lt;&gt;Cancelada"))</f>
        <v/>
      </c>
    </row>
    <row r="101" customFormat="false" ht="15" hidden="false" customHeight="false" outlineLevel="0" collapsed="false">
      <c r="A101" s="23" t="str">
        <f aca="false">IF($B101="","",ROW()-6)</f>
        <v/>
      </c>
      <c r="B101" s="27"/>
      <c r="C101" s="27"/>
      <c r="D101" s="27"/>
      <c r="E101" s="27"/>
      <c r="F101" s="27"/>
      <c r="G101" s="27"/>
      <c r="H101" s="28"/>
      <c r="I101" s="27"/>
      <c r="J101" s="23" t="str">
        <f aca="true">IF(OR($B101="",$H101=""),"",IF(OR($I101="Hecha",$I101="Cancelada"),"-",$H101-TODAY()))</f>
        <v/>
      </c>
      <c r="K101" s="29" t="str">
        <f aca="true">IF($B101="","",IF($I101="Hecha","Hecha",IF($I101="Cancelada","Cancelada",IF($I101="En espera","En espera",IF($H101="","Sin fecha",IF($H101&lt;TODAY(),"Vencida",IF($H101=TODAY(),"Hoy",IF($H101-TODAY()&lt;=7,"Esta semana","Más adelante"))))))))</f>
        <v/>
      </c>
      <c r="L101" s="27"/>
      <c r="M101" s="27"/>
      <c r="N101" s="28"/>
      <c r="O101" s="30" t="str">
        <f aca="false">IF($B101="","",IF(OR($K101="Vencida",$K101="Hoy"),COUNTIF($K$7:$K101,"Vencida")+COUNTIF($K$7:$K101,"Hoy"),""))</f>
        <v/>
      </c>
      <c r="P101" s="30" t="str">
        <f aca="false">IF(OR($B101="",$H101="",$I101="Hecha",$I101="Cancelada"),"",TEXT($H101,"yyyymmdd")&amp;"-"&amp;COUNTIFS($H$7:$H101,$H101,$I$7:$I101,"&lt;&gt;Hecha",$I$7:$I101,"&lt;&gt;Cancelada"))</f>
        <v/>
      </c>
    </row>
    <row r="102" customFormat="false" ht="15" hidden="false" customHeight="false" outlineLevel="0" collapsed="false">
      <c r="A102" s="25" t="str">
        <f aca="false">IF($B102="","",ROW()-6)</f>
        <v/>
      </c>
      <c r="B102" s="27"/>
      <c r="C102" s="27"/>
      <c r="D102" s="27"/>
      <c r="E102" s="27"/>
      <c r="F102" s="27"/>
      <c r="G102" s="27"/>
      <c r="H102" s="28"/>
      <c r="I102" s="27"/>
      <c r="J102" s="25" t="str">
        <f aca="true">IF(OR($B102="",$H102=""),"",IF(OR($I102="Hecha",$I102="Cancelada"),"-",$H102-TODAY()))</f>
        <v/>
      </c>
      <c r="K102" s="31" t="str">
        <f aca="true">IF($B102="","",IF($I102="Hecha","Hecha",IF($I102="Cancelada","Cancelada",IF($I102="En espera","En espera",IF($H102="","Sin fecha",IF($H102&lt;TODAY(),"Vencida",IF($H102=TODAY(),"Hoy",IF($H102-TODAY()&lt;=7,"Esta semana","Más adelante"))))))))</f>
        <v/>
      </c>
      <c r="L102" s="27"/>
      <c r="M102" s="27"/>
      <c r="N102" s="28"/>
      <c r="O102" s="30" t="str">
        <f aca="false">IF($B102="","",IF(OR($K102="Vencida",$K102="Hoy"),COUNTIF($K$7:$K102,"Vencida")+COUNTIF($K$7:$K102,"Hoy"),""))</f>
        <v/>
      </c>
      <c r="P102" s="30" t="str">
        <f aca="false">IF(OR($B102="",$H102="",$I102="Hecha",$I102="Cancelada"),"",TEXT($H102,"yyyymmdd")&amp;"-"&amp;COUNTIFS($H$7:$H102,$H102,$I$7:$I102,"&lt;&gt;Hecha",$I$7:$I102,"&lt;&gt;Cancelada"))</f>
        <v/>
      </c>
    </row>
    <row r="103" customFormat="false" ht="15" hidden="false" customHeight="false" outlineLevel="0" collapsed="false">
      <c r="A103" s="23" t="str">
        <f aca="false">IF($B103="","",ROW()-6)</f>
        <v/>
      </c>
      <c r="B103" s="27"/>
      <c r="C103" s="27"/>
      <c r="D103" s="27"/>
      <c r="E103" s="27"/>
      <c r="F103" s="27"/>
      <c r="G103" s="27"/>
      <c r="H103" s="28"/>
      <c r="I103" s="27"/>
      <c r="J103" s="23" t="str">
        <f aca="true">IF(OR($B103="",$H103=""),"",IF(OR($I103="Hecha",$I103="Cancelada"),"-",$H103-TODAY()))</f>
        <v/>
      </c>
      <c r="K103" s="29" t="str">
        <f aca="true">IF($B103="","",IF($I103="Hecha","Hecha",IF($I103="Cancelada","Cancelada",IF($I103="En espera","En espera",IF($H103="","Sin fecha",IF($H103&lt;TODAY(),"Vencida",IF($H103=TODAY(),"Hoy",IF($H103-TODAY()&lt;=7,"Esta semana","Más adelante"))))))))</f>
        <v/>
      </c>
      <c r="L103" s="27"/>
      <c r="M103" s="27"/>
      <c r="N103" s="28"/>
      <c r="O103" s="30" t="str">
        <f aca="false">IF($B103="","",IF(OR($K103="Vencida",$K103="Hoy"),COUNTIF($K$7:$K103,"Vencida")+COUNTIF($K$7:$K103,"Hoy"),""))</f>
        <v/>
      </c>
      <c r="P103" s="30" t="str">
        <f aca="false">IF(OR($B103="",$H103="",$I103="Hecha",$I103="Cancelada"),"",TEXT($H103,"yyyymmdd")&amp;"-"&amp;COUNTIFS($H$7:$H103,$H103,$I$7:$I103,"&lt;&gt;Hecha",$I$7:$I103,"&lt;&gt;Cancelada"))</f>
        <v/>
      </c>
    </row>
    <row r="104" customFormat="false" ht="15" hidden="false" customHeight="false" outlineLevel="0" collapsed="false">
      <c r="A104" s="25" t="str">
        <f aca="false">IF($B104="","",ROW()-6)</f>
        <v/>
      </c>
      <c r="B104" s="27"/>
      <c r="C104" s="27"/>
      <c r="D104" s="27"/>
      <c r="E104" s="27"/>
      <c r="F104" s="27"/>
      <c r="G104" s="27"/>
      <c r="H104" s="28"/>
      <c r="I104" s="27"/>
      <c r="J104" s="25" t="str">
        <f aca="true">IF(OR($B104="",$H104=""),"",IF(OR($I104="Hecha",$I104="Cancelada"),"-",$H104-TODAY()))</f>
        <v/>
      </c>
      <c r="K104" s="31" t="str">
        <f aca="true">IF($B104="","",IF($I104="Hecha","Hecha",IF($I104="Cancelada","Cancelada",IF($I104="En espera","En espera",IF($H104="","Sin fecha",IF($H104&lt;TODAY(),"Vencida",IF($H104=TODAY(),"Hoy",IF($H104-TODAY()&lt;=7,"Esta semana","Más adelante"))))))))</f>
        <v/>
      </c>
      <c r="L104" s="27"/>
      <c r="M104" s="27"/>
      <c r="N104" s="28"/>
      <c r="O104" s="30" t="str">
        <f aca="false">IF($B104="","",IF(OR($K104="Vencida",$K104="Hoy"),COUNTIF($K$7:$K104,"Vencida")+COUNTIF($K$7:$K104,"Hoy"),""))</f>
        <v/>
      </c>
      <c r="P104" s="30" t="str">
        <f aca="false">IF(OR($B104="",$H104="",$I104="Hecha",$I104="Cancelada"),"",TEXT($H104,"yyyymmdd")&amp;"-"&amp;COUNTIFS($H$7:$H104,$H104,$I$7:$I104,"&lt;&gt;Hecha",$I$7:$I104,"&lt;&gt;Cancelada"))</f>
        <v/>
      </c>
    </row>
    <row r="105" customFormat="false" ht="15" hidden="false" customHeight="false" outlineLevel="0" collapsed="false">
      <c r="A105" s="23" t="str">
        <f aca="false">IF($B105="","",ROW()-6)</f>
        <v/>
      </c>
      <c r="B105" s="27"/>
      <c r="C105" s="27"/>
      <c r="D105" s="27"/>
      <c r="E105" s="27"/>
      <c r="F105" s="27"/>
      <c r="G105" s="27"/>
      <c r="H105" s="28"/>
      <c r="I105" s="27"/>
      <c r="J105" s="23" t="str">
        <f aca="true">IF(OR($B105="",$H105=""),"",IF(OR($I105="Hecha",$I105="Cancelada"),"-",$H105-TODAY()))</f>
        <v/>
      </c>
      <c r="K105" s="29" t="str">
        <f aca="true">IF($B105="","",IF($I105="Hecha","Hecha",IF($I105="Cancelada","Cancelada",IF($I105="En espera","En espera",IF($H105="","Sin fecha",IF($H105&lt;TODAY(),"Vencida",IF($H105=TODAY(),"Hoy",IF($H105-TODAY()&lt;=7,"Esta semana","Más adelante"))))))))</f>
        <v/>
      </c>
      <c r="L105" s="27"/>
      <c r="M105" s="27"/>
      <c r="N105" s="28"/>
      <c r="O105" s="30" t="str">
        <f aca="false">IF($B105="","",IF(OR($K105="Vencida",$K105="Hoy"),COUNTIF($K$7:$K105,"Vencida")+COUNTIF($K$7:$K105,"Hoy"),""))</f>
        <v/>
      </c>
      <c r="P105" s="30" t="str">
        <f aca="false">IF(OR($B105="",$H105="",$I105="Hecha",$I105="Cancelada"),"",TEXT($H105,"yyyymmdd")&amp;"-"&amp;COUNTIFS($H$7:$H105,$H105,$I$7:$I105,"&lt;&gt;Hecha",$I$7:$I105,"&lt;&gt;Cancelada"))</f>
        <v/>
      </c>
    </row>
    <row r="106" customFormat="false" ht="15" hidden="false" customHeight="false" outlineLevel="0" collapsed="false">
      <c r="A106" s="25" t="str">
        <f aca="false">IF($B106="","",ROW()-6)</f>
        <v/>
      </c>
      <c r="B106" s="27"/>
      <c r="C106" s="27"/>
      <c r="D106" s="27"/>
      <c r="E106" s="27"/>
      <c r="F106" s="27"/>
      <c r="G106" s="27"/>
      <c r="H106" s="28"/>
      <c r="I106" s="27"/>
      <c r="J106" s="25" t="str">
        <f aca="true">IF(OR($B106="",$H106=""),"",IF(OR($I106="Hecha",$I106="Cancelada"),"-",$H106-TODAY()))</f>
        <v/>
      </c>
      <c r="K106" s="31" t="str">
        <f aca="true">IF($B106="","",IF($I106="Hecha","Hecha",IF($I106="Cancelada","Cancelada",IF($I106="En espera","En espera",IF($H106="","Sin fecha",IF($H106&lt;TODAY(),"Vencida",IF($H106=TODAY(),"Hoy",IF($H106-TODAY()&lt;=7,"Esta semana","Más adelante"))))))))</f>
        <v/>
      </c>
      <c r="L106" s="27"/>
      <c r="M106" s="27"/>
      <c r="N106" s="28"/>
      <c r="O106" s="30" t="str">
        <f aca="false">IF($B106="","",IF(OR($K106="Vencida",$K106="Hoy"),COUNTIF($K$7:$K106,"Vencida")+COUNTIF($K$7:$K106,"Hoy"),""))</f>
        <v/>
      </c>
      <c r="P106" s="30" t="str">
        <f aca="false">IF(OR($B106="",$H106="",$I106="Hecha",$I106="Cancelada"),"",TEXT($H106,"yyyymmdd")&amp;"-"&amp;COUNTIFS($H$7:$H106,$H106,$I$7:$I106,"&lt;&gt;Hecha",$I$7:$I106,"&lt;&gt;Cancelada"))</f>
        <v/>
      </c>
    </row>
    <row r="107" customFormat="false" ht="15" hidden="false" customHeight="false" outlineLevel="0" collapsed="false">
      <c r="A107" s="23" t="str">
        <f aca="false">IF($B107="","",ROW()-6)</f>
        <v/>
      </c>
      <c r="B107" s="27"/>
      <c r="C107" s="27"/>
      <c r="D107" s="27"/>
      <c r="E107" s="27"/>
      <c r="F107" s="27"/>
      <c r="G107" s="27"/>
      <c r="H107" s="28"/>
      <c r="I107" s="27"/>
      <c r="J107" s="23" t="str">
        <f aca="true">IF(OR($B107="",$H107=""),"",IF(OR($I107="Hecha",$I107="Cancelada"),"-",$H107-TODAY()))</f>
        <v/>
      </c>
      <c r="K107" s="29" t="str">
        <f aca="true">IF($B107="","",IF($I107="Hecha","Hecha",IF($I107="Cancelada","Cancelada",IF($I107="En espera","En espera",IF($H107="","Sin fecha",IF($H107&lt;TODAY(),"Vencida",IF($H107=TODAY(),"Hoy",IF($H107-TODAY()&lt;=7,"Esta semana","Más adelante"))))))))</f>
        <v/>
      </c>
      <c r="L107" s="27"/>
      <c r="M107" s="27"/>
      <c r="N107" s="28"/>
      <c r="O107" s="30" t="str">
        <f aca="false">IF($B107="","",IF(OR($K107="Vencida",$K107="Hoy"),COUNTIF($K$7:$K107,"Vencida")+COUNTIF($K$7:$K107,"Hoy"),""))</f>
        <v/>
      </c>
      <c r="P107" s="30" t="str">
        <f aca="false">IF(OR($B107="",$H107="",$I107="Hecha",$I107="Cancelada"),"",TEXT($H107,"yyyymmdd")&amp;"-"&amp;COUNTIFS($H$7:$H107,$H107,$I$7:$I107,"&lt;&gt;Hecha",$I$7:$I107,"&lt;&gt;Cancelada"))</f>
        <v/>
      </c>
    </row>
    <row r="108" customFormat="false" ht="15" hidden="false" customHeight="false" outlineLevel="0" collapsed="false">
      <c r="A108" s="25" t="str">
        <f aca="false">IF($B108="","",ROW()-6)</f>
        <v/>
      </c>
      <c r="B108" s="27"/>
      <c r="C108" s="27"/>
      <c r="D108" s="27"/>
      <c r="E108" s="27"/>
      <c r="F108" s="27"/>
      <c r="G108" s="27"/>
      <c r="H108" s="28"/>
      <c r="I108" s="27"/>
      <c r="J108" s="25" t="str">
        <f aca="true">IF(OR($B108="",$H108=""),"",IF(OR($I108="Hecha",$I108="Cancelada"),"-",$H108-TODAY()))</f>
        <v/>
      </c>
      <c r="K108" s="31" t="str">
        <f aca="true">IF($B108="","",IF($I108="Hecha","Hecha",IF($I108="Cancelada","Cancelada",IF($I108="En espera","En espera",IF($H108="","Sin fecha",IF($H108&lt;TODAY(),"Vencida",IF($H108=TODAY(),"Hoy",IF($H108-TODAY()&lt;=7,"Esta semana","Más adelante"))))))))</f>
        <v/>
      </c>
      <c r="L108" s="27"/>
      <c r="M108" s="27"/>
      <c r="N108" s="28"/>
      <c r="O108" s="30" t="str">
        <f aca="false">IF($B108="","",IF(OR($K108="Vencida",$K108="Hoy"),COUNTIF($K$7:$K108,"Vencida")+COUNTIF($K$7:$K108,"Hoy"),""))</f>
        <v/>
      </c>
      <c r="P108" s="30" t="str">
        <f aca="false">IF(OR($B108="",$H108="",$I108="Hecha",$I108="Cancelada"),"",TEXT($H108,"yyyymmdd")&amp;"-"&amp;COUNTIFS($H$7:$H108,$H108,$I$7:$I108,"&lt;&gt;Hecha",$I$7:$I108,"&lt;&gt;Cancelada"))</f>
        <v/>
      </c>
    </row>
    <row r="109" customFormat="false" ht="15" hidden="false" customHeight="false" outlineLevel="0" collapsed="false">
      <c r="A109" s="23" t="str">
        <f aca="false">IF($B109="","",ROW()-6)</f>
        <v/>
      </c>
      <c r="B109" s="27"/>
      <c r="C109" s="27"/>
      <c r="D109" s="27"/>
      <c r="E109" s="27"/>
      <c r="F109" s="27"/>
      <c r="G109" s="27"/>
      <c r="H109" s="28"/>
      <c r="I109" s="27"/>
      <c r="J109" s="23" t="str">
        <f aca="true">IF(OR($B109="",$H109=""),"",IF(OR($I109="Hecha",$I109="Cancelada"),"-",$H109-TODAY()))</f>
        <v/>
      </c>
      <c r="K109" s="29" t="str">
        <f aca="true">IF($B109="","",IF($I109="Hecha","Hecha",IF($I109="Cancelada","Cancelada",IF($I109="En espera","En espera",IF($H109="","Sin fecha",IF($H109&lt;TODAY(),"Vencida",IF($H109=TODAY(),"Hoy",IF($H109-TODAY()&lt;=7,"Esta semana","Más adelante"))))))))</f>
        <v/>
      </c>
      <c r="L109" s="27"/>
      <c r="M109" s="27"/>
      <c r="N109" s="28"/>
      <c r="O109" s="30" t="str">
        <f aca="false">IF($B109="","",IF(OR($K109="Vencida",$K109="Hoy"),COUNTIF($K$7:$K109,"Vencida")+COUNTIF($K$7:$K109,"Hoy"),""))</f>
        <v/>
      </c>
      <c r="P109" s="30" t="str">
        <f aca="false">IF(OR($B109="",$H109="",$I109="Hecha",$I109="Cancelada"),"",TEXT($H109,"yyyymmdd")&amp;"-"&amp;COUNTIFS($H$7:$H109,$H109,$I$7:$I109,"&lt;&gt;Hecha",$I$7:$I109,"&lt;&gt;Cancelada"))</f>
        <v/>
      </c>
    </row>
    <row r="110" customFormat="false" ht="15" hidden="false" customHeight="false" outlineLevel="0" collapsed="false">
      <c r="A110" s="25" t="str">
        <f aca="false">IF($B110="","",ROW()-6)</f>
        <v/>
      </c>
      <c r="B110" s="27"/>
      <c r="C110" s="27"/>
      <c r="D110" s="27"/>
      <c r="E110" s="27"/>
      <c r="F110" s="27"/>
      <c r="G110" s="27"/>
      <c r="H110" s="28"/>
      <c r="I110" s="27"/>
      <c r="J110" s="25" t="str">
        <f aca="true">IF(OR($B110="",$H110=""),"",IF(OR($I110="Hecha",$I110="Cancelada"),"-",$H110-TODAY()))</f>
        <v/>
      </c>
      <c r="K110" s="31" t="str">
        <f aca="true">IF($B110="","",IF($I110="Hecha","Hecha",IF($I110="Cancelada","Cancelada",IF($I110="En espera","En espera",IF($H110="","Sin fecha",IF($H110&lt;TODAY(),"Vencida",IF($H110=TODAY(),"Hoy",IF($H110-TODAY()&lt;=7,"Esta semana","Más adelante"))))))))</f>
        <v/>
      </c>
      <c r="L110" s="27"/>
      <c r="M110" s="27"/>
      <c r="N110" s="28"/>
      <c r="O110" s="30" t="str">
        <f aca="false">IF($B110="","",IF(OR($K110="Vencida",$K110="Hoy"),COUNTIF($K$7:$K110,"Vencida")+COUNTIF($K$7:$K110,"Hoy"),""))</f>
        <v/>
      </c>
      <c r="P110" s="30" t="str">
        <f aca="false">IF(OR($B110="",$H110="",$I110="Hecha",$I110="Cancelada"),"",TEXT($H110,"yyyymmdd")&amp;"-"&amp;COUNTIFS($H$7:$H110,$H110,$I$7:$I110,"&lt;&gt;Hecha",$I$7:$I110,"&lt;&gt;Cancelada"))</f>
        <v/>
      </c>
    </row>
    <row r="111" customFormat="false" ht="15" hidden="false" customHeight="false" outlineLevel="0" collapsed="false">
      <c r="A111" s="23" t="str">
        <f aca="false">IF($B111="","",ROW()-6)</f>
        <v/>
      </c>
      <c r="B111" s="27"/>
      <c r="C111" s="27"/>
      <c r="D111" s="27"/>
      <c r="E111" s="27"/>
      <c r="F111" s="27"/>
      <c r="G111" s="27"/>
      <c r="H111" s="28"/>
      <c r="I111" s="27"/>
      <c r="J111" s="23" t="str">
        <f aca="true">IF(OR($B111="",$H111=""),"",IF(OR($I111="Hecha",$I111="Cancelada"),"-",$H111-TODAY()))</f>
        <v/>
      </c>
      <c r="K111" s="29" t="str">
        <f aca="true">IF($B111="","",IF($I111="Hecha","Hecha",IF($I111="Cancelada","Cancelada",IF($I111="En espera","En espera",IF($H111="","Sin fecha",IF($H111&lt;TODAY(),"Vencida",IF($H111=TODAY(),"Hoy",IF($H111-TODAY()&lt;=7,"Esta semana","Más adelante"))))))))</f>
        <v/>
      </c>
      <c r="L111" s="27"/>
      <c r="M111" s="27"/>
      <c r="N111" s="28"/>
      <c r="O111" s="30" t="str">
        <f aca="false">IF($B111="","",IF(OR($K111="Vencida",$K111="Hoy"),COUNTIF($K$7:$K111,"Vencida")+COUNTIF($K$7:$K111,"Hoy"),""))</f>
        <v/>
      </c>
      <c r="P111" s="30" t="str">
        <f aca="false">IF(OR($B111="",$H111="",$I111="Hecha",$I111="Cancelada"),"",TEXT($H111,"yyyymmdd")&amp;"-"&amp;COUNTIFS($H$7:$H111,$H111,$I$7:$I111,"&lt;&gt;Hecha",$I$7:$I111,"&lt;&gt;Cancelada"))</f>
        <v/>
      </c>
    </row>
    <row r="112" customFormat="false" ht="15" hidden="false" customHeight="false" outlineLevel="0" collapsed="false">
      <c r="A112" s="25" t="str">
        <f aca="false">IF($B112="","",ROW()-6)</f>
        <v/>
      </c>
      <c r="B112" s="27"/>
      <c r="C112" s="27"/>
      <c r="D112" s="27"/>
      <c r="E112" s="27"/>
      <c r="F112" s="27"/>
      <c r="G112" s="27"/>
      <c r="H112" s="28"/>
      <c r="I112" s="27"/>
      <c r="J112" s="25" t="str">
        <f aca="true">IF(OR($B112="",$H112=""),"",IF(OR($I112="Hecha",$I112="Cancelada"),"-",$H112-TODAY()))</f>
        <v/>
      </c>
      <c r="K112" s="31" t="str">
        <f aca="true">IF($B112="","",IF($I112="Hecha","Hecha",IF($I112="Cancelada","Cancelada",IF($I112="En espera","En espera",IF($H112="","Sin fecha",IF($H112&lt;TODAY(),"Vencida",IF($H112=TODAY(),"Hoy",IF($H112-TODAY()&lt;=7,"Esta semana","Más adelante"))))))))</f>
        <v/>
      </c>
      <c r="L112" s="27"/>
      <c r="M112" s="27"/>
      <c r="N112" s="28"/>
      <c r="O112" s="30" t="str">
        <f aca="false">IF($B112="","",IF(OR($K112="Vencida",$K112="Hoy"),COUNTIF($K$7:$K112,"Vencida")+COUNTIF($K$7:$K112,"Hoy"),""))</f>
        <v/>
      </c>
      <c r="P112" s="30" t="str">
        <f aca="false">IF(OR($B112="",$H112="",$I112="Hecha",$I112="Cancelada"),"",TEXT($H112,"yyyymmdd")&amp;"-"&amp;COUNTIFS($H$7:$H112,$H112,$I$7:$I112,"&lt;&gt;Hecha",$I$7:$I112,"&lt;&gt;Cancelada"))</f>
        <v/>
      </c>
    </row>
    <row r="113" customFormat="false" ht="15" hidden="false" customHeight="false" outlineLevel="0" collapsed="false">
      <c r="A113" s="23" t="str">
        <f aca="false">IF($B113="","",ROW()-6)</f>
        <v/>
      </c>
      <c r="B113" s="27"/>
      <c r="C113" s="27"/>
      <c r="D113" s="27"/>
      <c r="E113" s="27"/>
      <c r="F113" s="27"/>
      <c r="G113" s="27"/>
      <c r="H113" s="28"/>
      <c r="I113" s="27"/>
      <c r="J113" s="23" t="str">
        <f aca="true">IF(OR($B113="",$H113=""),"",IF(OR($I113="Hecha",$I113="Cancelada"),"-",$H113-TODAY()))</f>
        <v/>
      </c>
      <c r="K113" s="29" t="str">
        <f aca="true">IF($B113="","",IF($I113="Hecha","Hecha",IF($I113="Cancelada","Cancelada",IF($I113="En espera","En espera",IF($H113="","Sin fecha",IF($H113&lt;TODAY(),"Vencida",IF($H113=TODAY(),"Hoy",IF($H113-TODAY()&lt;=7,"Esta semana","Más adelante"))))))))</f>
        <v/>
      </c>
      <c r="L113" s="27"/>
      <c r="M113" s="27"/>
      <c r="N113" s="28"/>
      <c r="O113" s="30" t="str">
        <f aca="false">IF($B113="","",IF(OR($K113="Vencida",$K113="Hoy"),COUNTIF($K$7:$K113,"Vencida")+COUNTIF($K$7:$K113,"Hoy"),""))</f>
        <v/>
      </c>
      <c r="P113" s="30" t="str">
        <f aca="false">IF(OR($B113="",$H113="",$I113="Hecha",$I113="Cancelada"),"",TEXT($H113,"yyyymmdd")&amp;"-"&amp;COUNTIFS($H$7:$H113,$H113,$I$7:$I113,"&lt;&gt;Hecha",$I$7:$I113,"&lt;&gt;Cancelada"))</f>
        <v/>
      </c>
    </row>
    <row r="114" customFormat="false" ht="15" hidden="false" customHeight="false" outlineLevel="0" collapsed="false">
      <c r="A114" s="25" t="str">
        <f aca="false">IF($B114="","",ROW()-6)</f>
        <v/>
      </c>
      <c r="B114" s="27"/>
      <c r="C114" s="27"/>
      <c r="D114" s="27"/>
      <c r="E114" s="27"/>
      <c r="F114" s="27"/>
      <c r="G114" s="27"/>
      <c r="H114" s="28"/>
      <c r="I114" s="27"/>
      <c r="J114" s="25" t="str">
        <f aca="true">IF(OR($B114="",$H114=""),"",IF(OR($I114="Hecha",$I114="Cancelada"),"-",$H114-TODAY()))</f>
        <v/>
      </c>
      <c r="K114" s="31" t="str">
        <f aca="true">IF($B114="","",IF($I114="Hecha","Hecha",IF($I114="Cancelada","Cancelada",IF($I114="En espera","En espera",IF($H114="","Sin fecha",IF($H114&lt;TODAY(),"Vencida",IF($H114=TODAY(),"Hoy",IF($H114-TODAY()&lt;=7,"Esta semana","Más adelante"))))))))</f>
        <v/>
      </c>
      <c r="L114" s="27"/>
      <c r="M114" s="27"/>
      <c r="N114" s="28"/>
      <c r="O114" s="30" t="str">
        <f aca="false">IF($B114="","",IF(OR($K114="Vencida",$K114="Hoy"),COUNTIF($K$7:$K114,"Vencida")+COUNTIF($K$7:$K114,"Hoy"),""))</f>
        <v/>
      </c>
      <c r="P114" s="30" t="str">
        <f aca="false">IF(OR($B114="",$H114="",$I114="Hecha",$I114="Cancelada"),"",TEXT($H114,"yyyymmdd")&amp;"-"&amp;COUNTIFS($H$7:$H114,$H114,$I$7:$I114,"&lt;&gt;Hecha",$I$7:$I114,"&lt;&gt;Cancelada"))</f>
        <v/>
      </c>
    </row>
    <row r="115" customFormat="false" ht="15" hidden="false" customHeight="false" outlineLevel="0" collapsed="false">
      <c r="A115" s="23" t="str">
        <f aca="false">IF($B115="","",ROW()-6)</f>
        <v/>
      </c>
      <c r="B115" s="27"/>
      <c r="C115" s="27"/>
      <c r="D115" s="27"/>
      <c r="E115" s="27"/>
      <c r="F115" s="27"/>
      <c r="G115" s="27"/>
      <c r="H115" s="28"/>
      <c r="I115" s="27"/>
      <c r="J115" s="23" t="str">
        <f aca="true">IF(OR($B115="",$H115=""),"",IF(OR($I115="Hecha",$I115="Cancelada"),"-",$H115-TODAY()))</f>
        <v/>
      </c>
      <c r="K115" s="29" t="str">
        <f aca="true">IF($B115="","",IF($I115="Hecha","Hecha",IF($I115="Cancelada","Cancelada",IF($I115="En espera","En espera",IF($H115="","Sin fecha",IF($H115&lt;TODAY(),"Vencida",IF($H115=TODAY(),"Hoy",IF($H115-TODAY()&lt;=7,"Esta semana","Más adelante"))))))))</f>
        <v/>
      </c>
      <c r="L115" s="27"/>
      <c r="M115" s="27"/>
      <c r="N115" s="28"/>
      <c r="O115" s="30" t="str">
        <f aca="false">IF($B115="","",IF(OR($K115="Vencida",$K115="Hoy"),COUNTIF($K$7:$K115,"Vencida")+COUNTIF($K$7:$K115,"Hoy"),""))</f>
        <v/>
      </c>
      <c r="P115" s="30" t="str">
        <f aca="false">IF(OR($B115="",$H115="",$I115="Hecha",$I115="Cancelada"),"",TEXT($H115,"yyyymmdd")&amp;"-"&amp;COUNTIFS($H$7:$H115,$H115,$I$7:$I115,"&lt;&gt;Hecha",$I$7:$I115,"&lt;&gt;Cancelada"))</f>
        <v/>
      </c>
    </row>
    <row r="116" customFormat="false" ht="15" hidden="false" customHeight="false" outlineLevel="0" collapsed="false">
      <c r="A116" s="25" t="str">
        <f aca="false">IF($B116="","",ROW()-6)</f>
        <v/>
      </c>
      <c r="B116" s="27"/>
      <c r="C116" s="27"/>
      <c r="D116" s="27"/>
      <c r="E116" s="27"/>
      <c r="F116" s="27"/>
      <c r="G116" s="27"/>
      <c r="H116" s="28"/>
      <c r="I116" s="27"/>
      <c r="J116" s="25" t="str">
        <f aca="true">IF(OR($B116="",$H116=""),"",IF(OR($I116="Hecha",$I116="Cancelada"),"-",$H116-TODAY()))</f>
        <v/>
      </c>
      <c r="K116" s="31" t="str">
        <f aca="true">IF($B116="","",IF($I116="Hecha","Hecha",IF($I116="Cancelada","Cancelada",IF($I116="En espera","En espera",IF($H116="","Sin fecha",IF($H116&lt;TODAY(),"Vencida",IF($H116=TODAY(),"Hoy",IF($H116-TODAY()&lt;=7,"Esta semana","Más adelante"))))))))</f>
        <v/>
      </c>
      <c r="L116" s="27"/>
      <c r="M116" s="27"/>
      <c r="N116" s="28"/>
      <c r="O116" s="30" t="str">
        <f aca="false">IF($B116="","",IF(OR($K116="Vencida",$K116="Hoy"),COUNTIF($K$7:$K116,"Vencida")+COUNTIF($K$7:$K116,"Hoy"),""))</f>
        <v/>
      </c>
      <c r="P116" s="30" t="str">
        <f aca="false">IF(OR($B116="",$H116="",$I116="Hecha",$I116="Cancelada"),"",TEXT($H116,"yyyymmdd")&amp;"-"&amp;COUNTIFS($H$7:$H116,$H116,$I$7:$I116,"&lt;&gt;Hecha",$I$7:$I116,"&lt;&gt;Cancelada"))</f>
        <v/>
      </c>
    </row>
    <row r="117" customFormat="false" ht="15" hidden="false" customHeight="false" outlineLevel="0" collapsed="false">
      <c r="A117" s="23" t="str">
        <f aca="false">IF($B117="","",ROW()-6)</f>
        <v/>
      </c>
      <c r="B117" s="27"/>
      <c r="C117" s="27"/>
      <c r="D117" s="27"/>
      <c r="E117" s="27"/>
      <c r="F117" s="27"/>
      <c r="G117" s="27"/>
      <c r="H117" s="28"/>
      <c r="I117" s="27"/>
      <c r="J117" s="23" t="str">
        <f aca="true">IF(OR($B117="",$H117=""),"",IF(OR($I117="Hecha",$I117="Cancelada"),"-",$H117-TODAY()))</f>
        <v/>
      </c>
      <c r="K117" s="29" t="str">
        <f aca="true">IF($B117="","",IF($I117="Hecha","Hecha",IF($I117="Cancelada","Cancelada",IF($I117="En espera","En espera",IF($H117="","Sin fecha",IF($H117&lt;TODAY(),"Vencida",IF($H117=TODAY(),"Hoy",IF($H117-TODAY()&lt;=7,"Esta semana","Más adelante"))))))))</f>
        <v/>
      </c>
      <c r="L117" s="27"/>
      <c r="M117" s="27"/>
      <c r="N117" s="28"/>
      <c r="O117" s="30" t="str">
        <f aca="false">IF($B117="","",IF(OR($K117="Vencida",$K117="Hoy"),COUNTIF($K$7:$K117,"Vencida")+COUNTIF($K$7:$K117,"Hoy"),""))</f>
        <v/>
      </c>
      <c r="P117" s="30" t="str">
        <f aca="false">IF(OR($B117="",$H117="",$I117="Hecha",$I117="Cancelada"),"",TEXT($H117,"yyyymmdd")&amp;"-"&amp;COUNTIFS($H$7:$H117,$H117,$I$7:$I117,"&lt;&gt;Hecha",$I$7:$I117,"&lt;&gt;Cancelada"))</f>
        <v/>
      </c>
    </row>
    <row r="118" customFormat="false" ht="15" hidden="false" customHeight="false" outlineLevel="0" collapsed="false">
      <c r="A118" s="25" t="str">
        <f aca="false">IF($B118="","",ROW()-6)</f>
        <v/>
      </c>
      <c r="B118" s="27"/>
      <c r="C118" s="27"/>
      <c r="D118" s="27"/>
      <c r="E118" s="27"/>
      <c r="F118" s="27"/>
      <c r="G118" s="27"/>
      <c r="H118" s="28"/>
      <c r="I118" s="27"/>
      <c r="J118" s="25" t="str">
        <f aca="true">IF(OR($B118="",$H118=""),"",IF(OR($I118="Hecha",$I118="Cancelada"),"-",$H118-TODAY()))</f>
        <v/>
      </c>
      <c r="K118" s="31" t="str">
        <f aca="true">IF($B118="","",IF($I118="Hecha","Hecha",IF($I118="Cancelada","Cancelada",IF($I118="En espera","En espera",IF($H118="","Sin fecha",IF($H118&lt;TODAY(),"Vencida",IF($H118=TODAY(),"Hoy",IF($H118-TODAY()&lt;=7,"Esta semana","Más adelante"))))))))</f>
        <v/>
      </c>
      <c r="L118" s="27"/>
      <c r="M118" s="27"/>
      <c r="N118" s="28"/>
      <c r="O118" s="30" t="str">
        <f aca="false">IF($B118="","",IF(OR($K118="Vencida",$K118="Hoy"),COUNTIF($K$7:$K118,"Vencida")+COUNTIF($K$7:$K118,"Hoy"),""))</f>
        <v/>
      </c>
      <c r="P118" s="30" t="str">
        <f aca="false">IF(OR($B118="",$H118="",$I118="Hecha",$I118="Cancelada"),"",TEXT($H118,"yyyymmdd")&amp;"-"&amp;COUNTIFS($H$7:$H118,$H118,$I$7:$I118,"&lt;&gt;Hecha",$I$7:$I118,"&lt;&gt;Cancelada"))</f>
        <v/>
      </c>
    </row>
    <row r="119" customFormat="false" ht="15" hidden="false" customHeight="false" outlineLevel="0" collapsed="false">
      <c r="A119" s="23" t="str">
        <f aca="false">IF($B119="","",ROW()-6)</f>
        <v/>
      </c>
      <c r="B119" s="27"/>
      <c r="C119" s="27"/>
      <c r="D119" s="27"/>
      <c r="E119" s="27"/>
      <c r="F119" s="27"/>
      <c r="G119" s="27"/>
      <c r="H119" s="28"/>
      <c r="I119" s="27"/>
      <c r="J119" s="23" t="str">
        <f aca="true">IF(OR($B119="",$H119=""),"",IF(OR($I119="Hecha",$I119="Cancelada"),"-",$H119-TODAY()))</f>
        <v/>
      </c>
      <c r="K119" s="29" t="str">
        <f aca="true">IF($B119="","",IF($I119="Hecha","Hecha",IF($I119="Cancelada","Cancelada",IF($I119="En espera","En espera",IF($H119="","Sin fecha",IF($H119&lt;TODAY(),"Vencida",IF($H119=TODAY(),"Hoy",IF($H119-TODAY()&lt;=7,"Esta semana","Más adelante"))))))))</f>
        <v/>
      </c>
      <c r="L119" s="27"/>
      <c r="M119" s="27"/>
      <c r="N119" s="28"/>
      <c r="O119" s="30" t="str">
        <f aca="false">IF($B119="","",IF(OR($K119="Vencida",$K119="Hoy"),COUNTIF($K$7:$K119,"Vencida")+COUNTIF($K$7:$K119,"Hoy"),""))</f>
        <v/>
      </c>
      <c r="P119" s="30" t="str">
        <f aca="false">IF(OR($B119="",$H119="",$I119="Hecha",$I119="Cancelada"),"",TEXT($H119,"yyyymmdd")&amp;"-"&amp;COUNTIFS($H$7:$H119,$H119,$I$7:$I119,"&lt;&gt;Hecha",$I$7:$I119,"&lt;&gt;Cancelada"))</f>
        <v/>
      </c>
    </row>
    <row r="120" customFormat="false" ht="15" hidden="false" customHeight="false" outlineLevel="0" collapsed="false">
      <c r="A120" s="25" t="str">
        <f aca="false">IF($B120="","",ROW()-6)</f>
        <v/>
      </c>
      <c r="B120" s="27"/>
      <c r="C120" s="27"/>
      <c r="D120" s="27"/>
      <c r="E120" s="27"/>
      <c r="F120" s="27"/>
      <c r="G120" s="27"/>
      <c r="H120" s="28"/>
      <c r="I120" s="27"/>
      <c r="J120" s="25" t="str">
        <f aca="true">IF(OR($B120="",$H120=""),"",IF(OR($I120="Hecha",$I120="Cancelada"),"-",$H120-TODAY()))</f>
        <v/>
      </c>
      <c r="K120" s="31" t="str">
        <f aca="true">IF($B120="","",IF($I120="Hecha","Hecha",IF($I120="Cancelada","Cancelada",IF($I120="En espera","En espera",IF($H120="","Sin fecha",IF($H120&lt;TODAY(),"Vencida",IF($H120=TODAY(),"Hoy",IF($H120-TODAY()&lt;=7,"Esta semana","Más adelante"))))))))</f>
        <v/>
      </c>
      <c r="L120" s="27"/>
      <c r="M120" s="27"/>
      <c r="N120" s="28"/>
      <c r="O120" s="30" t="str">
        <f aca="false">IF($B120="","",IF(OR($K120="Vencida",$K120="Hoy"),COUNTIF($K$7:$K120,"Vencida")+COUNTIF($K$7:$K120,"Hoy"),""))</f>
        <v/>
      </c>
      <c r="P120" s="30" t="str">
        <f aca="false">IF(OR($B120="",$H120="",$I120="Hecha",$I120="Cancelada"),"",TEXT($H120,"yyyymmdd")&amp;"-"&amp;COUNTIFS($H$7:$H120,$H120,$I$7:$I120,"&lt;&gt;Hecha",$I$7:$I120,"&lt;&gt;Cancelada"))</f>
        <v/>
      </c>
    </row>
    <row r="121" customFormat="false" ht="15" hidden="false" customHeight="false" outlineLevel="0" collapsed="false">
      <c r="A121" s="23" t="str">
        <f aca="false">IF($B121="","",ROW()-6)</f>
        <v/>
      </c>
      <c r="B121" s="27"/>
      <c r="C121" s="27"/>
      <c r="D121" s="27"/>
      <c r="E121" s="27"/>
      <c r="F121" s="27"/>
      <c r="G121" s="27"/>
      <c r="H121" s="28"/>
      <c r="I121" s="27"/>
      <c r="J121" s="23" t="str">
        <f aca="true">IF(OR($B121="",$H121=""),"",IF(OR($I121="Hecha",$I121="Cancelada"),"-",$H121-TODAY()))</f>
        <v/>
      </c>
      <c r="K121" s="29" t="str">
        <f aca="true">IF($B121="","",IF($I121="Hecha","Hecha",IF($I121="Cancelada","Cancelada",IF($I121="En espera","En espera",IF($H121="","Sin fecha",IF($H121&lt;TODAY(),"Vencida",IF($H121=TODAY(),"Hoy",IF($H121-TODAY()&lt;=7,"Esta semana","Más adelante"))))))))</f>
        <v/>
      </c>
      <c r="L121" s="27"/>
      <c r="M121" s="27"/>
      <c r="N121" s="28"/>
      <c r="O121" s="30" t="str">
        <f aca="false">IF($B121="","",IF(OR($K121="Vencida",$K121="Hoy"),COUNTIF($K$7:$K121,"Vencida")+COUNTIF($K$7:$K121,"Hoy"),""))</f>
        <v/>
      </c>
      <c r="P121" s="30" t="str">
        <f aca="false">IF(OR($B121="",$H121="",$I121="Hecha",$I121="Cancelada"),"",TEXT($H121,"yyyymmdd")&amp;"-"&amp;COUNTIFS($H$7:$H121,$H121,$I$7:$I121,"&lt;&gt;Hecha",$I$7:$I121,"&lt;&gt;Cancelada"))</f>
        <v/>
      </c>
    </row>
    <row r="122" customFormat="false" ht="15" hidden="false" customHeight="false" outlineLevel="0" collapsed="false">
      <c r="A122" s="25" t="str">
        <f aca="false">IF($B122="","",ROW()-6)</f>
        <v/>
      </c>
      <c r="B122" s="27"/>
      <c r="C122" s="27"/>
      <c r="D122" s="27"/>
      <c r="E122" s="27"/>
      <c r="F122" s="27"/>
      <c r="G122" s="27"/>
      <c r="H122" s="28"/>
      <c r="I122" s="27"/>
      <c r="J122" s="25" t="str">
        <f aca="true">IF(OR($B122="",$H122=""),"",IF(OR($I122="Hecha",$I122="Cancelada"),"-",$H122-TODAY()))</f>
        <v/>
      </c>
      <c r="K122" s="31" t="str">
        <f aca="true">IF($B122="","",IF($I122="Hecha","Hecha",IF($I122="Cancelada","Cancelada",IF($I122="En espera","En espera",IF($H122="","Sin fecha",IF($H122&lt;TODAY(),"Vencida",IF($H122=TODAY(),"Hoy",IF($H122-TODAY()&lt;=7,"Esta semana","Más adelante"))))))))</f>
        <v/>
      </c>
      <c r="L122" s="27"/>
      <c r="M122" s="27"/>
      <c r="N122" s="28"/>
      <c r="O122" s="30" t="str">
        <f aca="false">IF($B122="","",IF(OR($K122="Vencida",$K122="Hoy"),COUNTIF($K$7:$K122,"Vencida")+COUNTIF($K$7:$K122,"Hoy"),""))</f>
        <v/>
      </c>
      <c r="P122" s="30" t="str">
        <f aca="false">IF(OR($B122="",$H122="",$I122="Hecha",$I122="Cancelada"),"",TEXT($H122,"yyyymmdd")&amp;"-"&amp;COUNTIFS($H$7:$H122,$H122,$I$7:$I122,"&lt;&gt;Hecha",$I$7:$I122,"&lt;&gt;Cancelada"))</f>
        <v/>
      </c>
    </row>
    <row r="123" customFormat="false" ht="15" hidden="false" customHeight="false" outlineLevel="0" collapsed="false">
      <c r="A123" s="23" t="str">
        <f aca="false">IF($B123="","",ROW()-6)</f>
        <v/>
      </c>
      <c r="B123" s="27"/>
      <c r="C123" s="27"/>
      <c r="D123" s="27"/>
      <c r="E123" s="27"/>
      <c r="F123" s="27"/>
      <c r="G123" s="27"/>
      <c r="H123" s="28"/>
      <c r="I123" s="27"/>
      <c r="J123" s="23" t="str">
        <f aca="true">IF(OR($B123="",$H123=""),"",IF(OR($I123="Hecha",$I123="Cancelada"),"-",$H123-TODAY()))</f>
        <v/>
      </c>
      <c r="K123" s="29" t="str">
        <f aca="true">IF($B123="","",IF($I123="Hecha","Hecha",IF($I123="Cancelada","Cancelada",IF($I123="En espera","En espera",IF($H123="","Sin fecha",IF($H123&lt;TODAY(),"Vencida",IF($H123=TODAY(),"Hoy",IF($H123-TODAY()&lt;=7,"Esta semana","Más adelante"))))))))</f>
        <v/>
      </c>
      <c r="L123" s="27"/>
      <c r="M123" s="27"/>
      <c r="N123" s="28"/>
      <c r="O123" s="30" t="str">
        <f aca="false">IF($B123="","",IF(OR($K123="Vencida",$K123="Hoy"),COUNTIF($K$7:$K123,"Vencida")+COUNTIF($K$7:$K123,"Hoy"),""))</f>
        <v/>
      </c>
      <c r="P123" s="30" t="str">
        <f aca="false">IF(OR($B123="",$H123="",$I123="Hecha",$I123="Cancelada"),"",TEXT($H123,"yyyymmdd")&amp;"-"&amp;COUNTIFS($H$7:$H123,$H123,$I$7:$I123,"&lt;&gt;Hecha",$I$7:$I123,"&lt;&gt;Cancelada"))</f>
        <v/>
      </c>
    </row>
    <row r="124" customFormat="false" ht="15" hidden="false" customHeight="false" outlineLevel="0" collapsed="false">
      <c r="A124" s="25" t="str">
        <f aca="false">IF($B124="","",ROW()-6)</f>
        <v/>
      </c>
      <c r="B124" s="27"/>
      <c r="C124" s="27"/>
      <c r="D124" s="27"/>
      <c r="E124" s="27"/>
      <c r="F124" s="27"/>
      <c r="G124" s="27"/>
      <c r="H124" s="28"/>
      <c r="I124" s="27"/>
      <c r="J124" s="25" t="str">
        <f aca="true">IF(OR($B124="",$H124=""),"",IF(OR($I124="Hecha",$I124="Cancelada"),"-",$H124-TODAY()))</f>
        <v/>
      </c>
      <c r="K124" s="31" t="str">
        <f aca="true">IF($B124="","",IF($I124="Hecha","Hecha",IF($I124="Cancelada","Cancelada",IF($I124="En espera","En espera",IF($H124="","Sin fecha",IF($H124&lt;TODAY(),"Vencida",IF($H124=TODAY(),"Hoy",IF($H124-TODAY()&lt;=7,"Esta semana","Más adelante"))))))))</f>
        <v/>
      </c>
      <c r="L124" s="27"/>
      <c r="M124" s="27"/>
      <c r="N124" s="28"/>
      <c r="O124" s="30" t="str">
        <f aca="false">IF($B124="","",IF(OR($K124="Vencida",$K124="Hoy"),COUNTIF($K$7:$K124,"Vencida")+COUNTIF($K$7:$K124,"Hoy"),""))</f>
        <v/>
      </c>
      <c r="P124" s="30" t="str">
        <f aca="false">IF(OR($B124="",$H124="",$I124="Hecha",$I124="Cancelada"),"",TEXT($H124,"yyyymmdd")&amp;"-"&amp;COUNTIFS($H$7:$H124,$H124,$I$7:$I124,"&lt;&gt;Hecha",$I$7:$I124,"&lt;&gt;Cancelada"))</f>
        <v/>
      </c>
    </row>
    <row r="125" customFormat="false" ht="15" hidden="false" customHeight="false" outlineLevel="0" collapsed="false">
      <c r="A125" s="23" t="str">
        <f aca="false">IF($B125="","",ROW()-6)</f>
        <v/>
      </c>
      <c r="B125" s="27"/>
      <c r="C125" s="27"/>
      <c r="D125" s="27"/>
      <c r="E125" s="27"/>
      <c r="F125" s="27"/>
      <c r="G125" s="27"/>
      <c r="H125" s="28"/>
      <c r="I125" s="27"/>
      <c r="J125" s="23" t="str">
        <f aca="true">IF(OR($B125="",$H125=""),"",IF(OR($I125="Hecha",$I125="Cancelada"),"-",$H125-TODAY()))</f>
        <v/>
      </c>
      <c r="K125" s="29" t="str">
        <f aca="true">IF($B125="","",IF($I125="Hecha","Hecha",IF($I125="Cancelada","Cancelada",IF($I125="En espera","En espera",IF($H125="","Sin fecha",IF($H125&lt;TODAY(),"Vencida",IF($H125=TODAY(),"Hoy",IF($H125-TODAY()&lt;=7,"Esta semana","Más adelante"))))))))</f>
        <v/>
      </c>
      <c r="L125" s="27"/>
      <c r="M125" s="27"/>
      <c r="N125" s="28"/>
      <c r="O125" s="30" t="str">
        <f aca="false">IF($B125="","",IF(OR($K125="Vencida",$K125="Hoy"),COUNTIF($K$7:$K125,"Vencida")+COUNTIF($K$7:$K125,"Hoy"),""))</f>
        <v/>
      </c>
      <c r="P125" s="30" t="str">
        <f aca="false">IF(OR($B125="",$H125="",$I125="Hecha",$I125="Cancelada"),"",TEXT($H125,"yyyymmdd")&amp;"-"&amp;COUNTIFS($H$7:$H125,$H125,$I$7:$I125,"&lt;&gt;Hecha",$I$7:$I125,"&lt;&gt;Cancelada"))</f>
        <v/>
      </c>
    </row>
    <row r="126" customFormat="false" ht="15" hidden="false" customHeight="false" outlineLevel="0" collapsed="false">
      <c r="A126" s="25" t="str">
        <f aca="false">IF($B126="","",ROW()-6)</f>
        <v/>
      </c>
      <c r="B126" s="27"/>
      <c r="C126" s="27"/>
      <c r="D126" s="27"/>
      <c r="E126" s="27"/>
      <c r="F126" s="27"/>
      <c r="G126" s="27"/>
      <c r="H126" s="28"/>
      <c r="I126" s="27"/>
      <c r="J126" s="25" t="str">
        <f aca="true">IF(OR($B126="",$H126=""),"",IF(OR($I126="Hecha",$I126="Cancelada"),"-",$H126-TODAY()))</f>
        <v/>
      </c>
      <c r="K126" s="31" t="str">
        <f aca="true">IF($B126="","",IF($I126="Hecha","Hecha",IF($I126="Cancelada","Cancelada",IF($I126="En espera","En espera",IF($H126="","Sin fecha",IF($H126&lt;TODAY(),"Vencida",IF($H126=TODAY(),"Hoy",IF($H126-TODAY()&lt;=7,"Esta semana","Más adelante"))))))))</f>
        <v/>
      </c>
      <c r="L126" s="27"/>
      <c r="M126" s="27"/>
      <c r="N126" s="28"/>
      <c r="O126" s="30" t="str">
        <f aca="false">IF($B126="","",IF(OR($K126="Vencida",$K126="Hoy"),COUNTIF($K$7:$K126,"Vencida")+COUNTIF($K$7:$K126,"Hoy"),""))</f>
        <v/>
      </c>
      <c r="P126" s="30" t="str">
        <f aca="false">IF(OR($B126="",$H126="",$I126="Hecha",$I126="Cancelada"),"",TEXT($H126,"yyyymmdd")&amp;"-"&amp;COUNTIFS($H$7:$H126,$H126,$I$7:$I126,"&lt;&gt;Hecha",$I$7:$I126,"&lt;&gt;Cancelada"))</f>
        <v/>
      </c>
    </row>
    <row r="127" customFormat="false" ht="15" hidden="false" customHeight="false" outlineLevel="0" collapsed="false">
      <c r="A127" s="23" t="str">
        <f aca="false">IF($B127="","",ROW()-6)</f>
        <v/>
      </c>
      <c r="B127" s="27"/>
      <c r="C127" s="27"/>
      <c r="D127" s="27"/>
      <c r="E127" s="27"/>
      <c r="F127" s="27"/>
      <c r="G127" s="27"/>
      <c r="H127" s="28"/>
      <c r="I127" s="27"/>
      <c r="J127" s="23" t="str">
        <f aca="true">IF(OR($B127="",$H127=""),"",IF(OR($I127="Hecha",$I127="Cancelada"),"-",$H127-TODAY()))</f>
        <v/>
      </c>
      <c r="K127" s="29" t="str">
        <f aca="true">IF($B127="","",IF($I127="Hecha","Hecha",IF($I127="Cancelada","Cancelada",IF($I127="En espera","En espera",IF($H127="","Sin fecha",IF($H127&lt;TODAY(),"Vencida",IF($H127=TODAY(),"Hoy",IF($H127-TODAY()&lt;=7,"Esta semana","Más adelante"))))))))</f>
        <v/>
      </c>
      <c r="L127" s="27"/>
      <c r="M127" s="27"/>
      <c r="N127" s="28"/>
      <c r="O127" s="30" t="str">
        <f aca="false">IF($B127="","",IF(OR($K127="Vencida",$K127="Hoy"),COUNTIF($K$7:$K127,"Vencida")+COUNTIF($K$7:$K127,"Hoy"),""))</f>
        <v/>
      </c>
      <c r="P127" s="30" t="str">
        <f aca="false">IF(OR($B127="",$H127="",$I127="Hecha",$I127="Cancelada"),"",TEXT($H127,"yyyymmdd")&amp;"-"&amp;COUNTIFS($H$7:$H127,$H127,$I$7:$I127,"&lt;&gt;Hecha",$I$7:$I127,"&lt;&gt;Cancelada"))</f>
        <v/>
      </c>
    </row>
    <row r="128" customFormat="false" ht="15" hidden="false" customHeight="false" outlineLevel="0" collapsed="false">
      <c r="A128" s="25" t="str">
        <f aca="false">IF($B128="","",ROW()-6)</f>
        <v/>
      </c>
      <c r="B128" s="27"/>
      <c r="C128" s="27"/>
      <c r="D128" s="27"/>
      <c r="E128" s="27"/>
      <c r="F128" s="27"/>
      <c r="G128" s="27"/>
      <c r="H128" s="28"/>
      <c r="I128" s="27"/>
      <c r="J128" s="25" t="str">
        <f aca="true">IF(OR($B128="",$H128=""),"",IF(OR($I128="Hecha",$I128="Cancelada"),"-",$H128-TODAY()))</f>
        <v/>
      </c>
      <c r="K128" s="31" t="str">
        <f aca="true">IF($B128="","",IF($I128="Hecha","Hecha",IF($I128="Cancelada","Cancelada",IF($I128="En espera","En espera",IF($H128="","Sin fecha",IF($H128&lt;TODAY(),"Vencida",IF($H128=TODAY(),"Hoy",IF($H128-TODAY()&lt;=7,"Esta semana","Más adelante"))))))))</f>
        <v/>
      </c>
      <c r="L128" s="27"/>
      <c r="M128" s="27"/>
      <c r="N128" s="28"/>
      <c r="O128" s="30" t="str">
        <f aca="false">IF($B128="","",IF(OR($K128="Vencida",$K128="Hoy"),COUNTIF($K$7:$K128,"Vencida")+COUNTIF($K$7:$K128,"Hoy"),""))</f>
        <v/>
      </c>
      <c r="P128" s="30" t="str">
        <f aca="false">IF(OR($B128="",$H128="",$I128="Hecha",$I128="Cancelada"),"",TEXT($H128,"yyyymmdd")&amp;"-"&amp;COUNTIFS($H$7:$H128,$H128,$I$7:$I128,"&lt;&gt;Hecha",$I$7:$I128,"&lt;&gt;Cancelada"))</f>
        <v/>
      </c>
    </row>
    <row r="129" customFormat="false" ht="15" hidden="false" customHeight="false" outlineLevel="0" collapsed="false">
      <c r="A129" s="23" t="str">
        <f aca="false">IF($B129="","",ROW()-6)</f>
        <v/>
      </c>
      <c r="B129" s="27"/>
      <c r="C129" s="27"/>
      <c r="D129" s="27"/>
      <c r="E129" s="27"/>
      <c r="F129" s="27"/>
      <c r="G129" s="27"/>
      <c r="H129" s="28"/>
      <c r="I129" s="27"/>
      <c r="J129" s="23" t="str">
        <f aca="true">IF(OR($B129="",$H129=""),"",IF(OR($I129="Hecha",$I129="Cancelada"),"-",$H129-TODAY()))</f>
        <v/>
      </c>
      <c r="K129" s="29" t="str">
        <f aca="true">IF($B129="","",IF($I129="Hecha","Hecha",IF($I129="Cancelada","Cancelada",IF($I129="En espera","En espera",IF($H129="","Sin fecha",IF($H129&lt;TODAY(),"Vencida",IF($H129=TODAY(),"Hoy",IF($H129-TODAY()&lt;=7,"Esta semana","Más adelante"))))))))</f>
        <v/>
      </c>
      <c r="L129" s="27"/>
      <c r="M129" s="27"/>
      <c r="N129" s="28"/>
      <c r="O129" s="30" t="str">
        <f aca="false">IF($B129="","",IF(OR($K129="Vencida",$K129="Hoy"),COUNTIF($K$7:$K129,"Vencida")+COUNTIF($K$7:$K129,"Hoy"),""))</f>
        <v/>
      </c>
      <c r="P129" s="30" t="str">
        <f aca="false">IF(OR($B129="",$H129="",$I129="Hecha",$I129="Cancelada"),"",TEXT($H129,"yyyymmdd")&amp;"-"&amp;COUNTIFS($H$7:$H129,$H129,$I$7:$I129,"&lt;&gt;Hecha",$I$7:$I129,"&lt;&gt;Cancelada"))</f>
        <v/>
      </c>
    </row>
    <row r="130" customFormat="false" ht="15" hidden="false" customHeight="false" outlineLevel="0" collapsed="false">
      <c r="A130" s="25" t="str">
        <f aca="false">IF($B130="","",ROW()-6)</f>
        <v/>
      </c>
      <c r="B130" s="27"/>
      <c r="C130" s="27"/>
      <c r="D130" s="27"/>
      <c r="E130" s="27"/>
      <c r="F130" s="27"/>
      <c r="G130" s="27"/>
      <c r="H130" s="28"/>
      <c r="I130" s="27"/>
      <c r="J130" s="25" t="str">
        <f aca="true">IF(OR($B130="",$H130=""),"",IF(OR($I130="Hecha",$I130="Cancelada"),"-",$H130-TODAY()))</f>
        <v/>
      </c>
      <c r="K130" s="31" t="str">
        <f aca="true">IF($B130="","",IF($I130="Hecha","Hecha",IF($I130="Cancelada","Cancelada",IF($I130="En espera","En espera",IF($H130="","Sin fecha",IF($H130&lt;TODAY(),"Vencida",IF($H130=TODAY(),"Hoy",IF($H130-TODAY()&lt;=7,"Esta semana","Más adelante"))))))))</f>
        <v/>
      </c>
      <c r="L130" s="27"/>
      <c r="M130" s="27"/>
      <c r="N130" s="28"/>
      <c r="O130" s="30" t="str">
        <f aca="false">IF($B130="","",IF(OR($K130="Vencida",$K130="Hoy"),COUNTIF($K$7:$K130,"Vencida")+COUNTIF($K$7:$K130,"Hoy"),""))</f>
        <v/>
      </c>
      <c r="P130" s="30" t="str">
        <f aca="false">IF(OR($B130="",$H130="",$I130="Hecha",$I130="Cancelada"),"",TEXT($H130,"yyyymmdd")&amp;"-"&amp;COUNTIFS($H$7:$H130,$H130,$I$7:$I130,"&lt;&gt;Hecha",$I$7:$I130,"&lt;&gt;Cancelada"))</f>
        <v/>
      </c>
    </row>
    <row r="131" customFormat="false" ht="15" hidden="false" customHeight="false" outlineLevel="0" collapsed="false">
      <c r="A131" s="23" t="str">
        <f aca="false">IF($B131="","",ROW()-6)</f>
        <v/>
      </c>
      <c r="B131" s="27"/>
      <c r="C131" s="27"/>
      <c r="D131" s="27"/>
      <c r="E131" s="27"/>
      <c r="F131" s="27"/>
      <c r="G131" s="27"/>
      <c r="H131" s="28"/>
      <c r="I131" s="27"/>
      <c r="J131" s="23" t="str">
        <f aca="true">IF(OR($B131="",$H131=""),"",IF(OR($I131="Hecha",$I131="Cancelada"),"-",$H131-TODAY()))</f>
        <v/>
      </c>
      <c r="K131" s="29" t="str">
        <f aca="true">IF($B131="","",IF($I131="Hecha","Hecha",IF($I131="Cancelada","Cancelada",IF($I131="En espera","En espera",IF($H131="","Sin fecha",IF($H131&lt;TODAY(),"Vencida",IF($H131=TODAY(),"Hoy",IF($H131-TODAY()&lt;=7,"Esta semana","Más adelante"))))))))</f>
        <v/>
      </c>
      <c r="L131" s="27"/>
      <c r="M131" s="27"/>
      <c r="N131" s="28"/>
      <c r="O131" s="30" t="str">
        <f aca="false">IF($B131="","",IF(OR($K131="Vencida",$K131="Hoy"),COUNTIF($K$7:$K131,"Vencida")+COUNTIF($K$7:$K131,"Hoy"),""))</f>
        <v/>
      </c>
      <c r="P131" s="30" t="str">
        <f aca="false">IF(OR($B131="",$H131="",$I131="Hecha",$I131="Cancelada"),"",TEXT($H131,"yyyymmdd")&amp;"-"&amp;COUNTIFS($H$7:$H131,$H131,$I$7:$I131,"&lt;&gt;Hecha",$I$7:$I131,"&lt;&gt;Cancelada"))</f>
        <v/>
      </c>
    </row>
    <row r="132" customFormat="false" ht="15" hidden="false" customHeight="false" outlineLevel="0" collapsed="false">
      <c r="A132" s="25" t="str">
        <f aca="false">IF($B132="","",ROW()-6)</f>
        <v/>
      </c>
      <c r="B132" s="27"/>
      <c r="C132" s="27"/>
      <c r="D132" s="27"/>
      <c r="E132" s="27"/>
      <c r="F132" s="27"/>
      <c r="G132" s="27"/>
      <c r="H132" s="28"/>
      <c r="I132" s="27"/>
      <c r="J132" s="25" t="str">
        <f aca="true">IF(OR($B132="",$H132=""),"",IF(OR($I132="Hecha",$I132="Cancelada"),"-",$H132-TODAY()))</f>
        <v/>
      </c>
      <c r="K132" s="31" t="str">
        <f aca="true">IF($B132="","",IF($I132="Hecha","Hecha",IF($I132="Cancelada","Cancelada",IF($I132="En espera","En espera",IF($H132="","Sin fecha",IF($H132&lt;TODAY(),"Vencida",IF($H132=TODAY(),"Hoy",IF($H132-TODAY()&lt;=7,"Esta semana","Más adelante"))))))))</f>
        <v/>
      </c>
      <c r="L132" s="27"/>
      <c r="M132" s="27"/>
      <c r="N132" s="28"/>
      <c r="O132" s="30" t="str">
        <f aca="false">IF($B132="","",IF(OR($K132="Vencida",$K132="Hoy"),COUNTIF($K$7:$K132,"Vencida")+COUNTIF($K$7:$K132,"Hoy"),""))</f>
        <v/>
      </c>
      <c r="P132" s="30" t="str">
        <f aca="false">IF(OR($B132="",$H132="",$I132="Hecha",$I132="Cancelada"),"",TEXT($H132,"yyyymmdd")&amp;"-"&amp;COUNTIFS($H$7:$H132,$H132,$I$7:$I132,"&lt;&gt;Hecha",$I$7:$I132,"&lt;&gt;Cancelada"))</f>
        <v/>
      </c>
    </row>
    <row r="133" customFormat="false" ht="15" hidden="false" customHeight="false" outlineLevel="0" collapsed="false">
      <c r="A133" s="23" t="str">
        <f aca="false">IF($B133="","",ROW()-6)</f>
        <v/>
      </c>
      <c r="B133" s="27"/>
      <c r="C133" s="27"/>
      <c r="D133" s="27"/>
      <c r="E133" s="27"/>
      <c r="F133" s="27"/>
      <c r="G133" s="27"/>
      <c r="H133" s="28"/>
      <c r="I133" s="27"/>
      <c r="J133" s="23" t="str">
        <f aca="true">IF(OR($B133="",$H133=""),"",IF(OR($I133="Hecha",$I133="Cancelada"),"-",$H133-TODAY()))</f>
        <v/>
      </c>
      <c r="K133" s="29" t="str">
        <f aca="true">IF($B133="","",IF($I133="Hecha","Hecha",IF($I133="Cancelada","Cancelada",IF($I133="En espera","En espera",IF($H133="","Sin fecha",IF($H133&lt;TODAY(),"Vencida",IF($H133=TODAY(),"Hoy",IF($H133-TODAY()&lt;=7,"Esta semana","Más adelante"))))))))</f>
        <v/>
      </c>
      <c r="L133" s="27"/>
      <c r="M133" s="27"/>
      <c r="N133" s="28"/>
      <c r="O133" s="30" t="str">
        <f aca="false">IF($B133="","",IF(OR($K133="Vencida",$K133="Hoy"),COUNTIF($K$7:$K133,"Vencida")+COUNTIF($K$7:$K133,"Hoy"),""))</f>
        <v/>
      </c>
      <c r="P133" s="30" t="str">
        <f aca="false">IF(OR($B133="",$H133="",$I133="Hecha",$I133="Cancelada"),"",TEXT($H133,"yyyymmdd")&amp;"-"&amp;COUNTIFS($H$7:$H133,$H133,$I$7:$I133,"&lt;&gt;Hecha",$I$7:$I133,"&lt;&gt;Cancelada"))</f>
        <v/>
      </c>
    </row>
    <row r="134" customFormat="false" ht="15" hidden="false" customHeight="false" outlineLevel="0" collapsed="false">
      <c r="A134" s="25" t="str">
        <f aca="false">IF($B134="","",ROW()-6)</f>
        <v/>
      </c>
      <c r="B134" s="27"/>
      <c r="C134" s="27"/>
      <c r="D134" s="27"/>
      <c r="E134" s="27"/>
      <c r="F134" s="27"/>
      <c r="G134" s="27"/>
      <c r="H134" s="28"/>
      <c r="I134" s="27"/>
      <c r="J134" s="25" t="str">
        <f aca="true">IF(OR($B134="",$H134=""),"",IF(OR($I134="Hecha",$I134="Cancelada"),"-",$H134-TODAY()))</f>
        <v/>
      </c>
      <c r="K134" s="31" t="str">
        <f aca="true">IF($B134="","",IF($I134="Hecha","Hecha",IF($I134="Cancelada","Cancelada",IF($I134="En espera","En espera",IF($H134="","Sin fecha",IF($H134&lt;TODAY(),"Vencida",IF($H134=TODAY(),"Hoy",IF($H134-TODAY()&lt;=7,"Esta semana","Más adelante"))))))))</f>
        <v/>
      </c>
      <c r="L134" s="27"/>
      <c r="M134" s="27"/>
      <c r="N134" s="28"/>
      <c r="O134" s="30" t="str">
        <f aca="false">IF($B134="","",IF(OR($K134="Vencida",$K134="Hoy"),COUNTIF($K$7:$K134,"Vencida")+COUNTIF($K$7:$K134,"Hoy"),""))</f>
        <v/>
      </c>
      <c r="P134" s="30" t="str">
        <f aca="false">IF(OR($B134="",$H134="",$I134="Hecha",$I134="Cancelada"),"",TEXT($H134,"yyyymmdd")&amp;"-"&amp;COUNTIFS($H$7:$H134,$H134,$I$7:$I134,"&lt;&gt;Hecha",$I$7:$I134,"&lt;&gt;Cancelada"))</f>
        <v/>
      </c>
    </row>
    <row r="135" customFormat="false" ht="15" hidden="false" customHeight="false" outlineLevel="0" collapsed="false">
      <c r="A135" s="23" t="str">
        <f aca="false">IF($B135="","",ROW()-6)</f>
        <v/>
      </c>
      <c r="B135" s="27"/>
      <c r="C135" s="27"/>
      <c r="D135" s="27"/>
      <c r="E135" s="27"/>
      <c r="F135" s="27"/>
      <c r="G135" s="27"/>
      <c r="H135" s="28"/>
      <c r="I135" s="27"/>
      <c r="J135" s="23" t="str">
        <f aca="true">IF(OR($B135="",$H135=""),"",IF(OR($I135="Hecha",$I135="Cancelada"),"-",$H135-TODAY()))</f>
        <v/>
      </c>
      <c r="K135" s="29" t="str">
        <f aca="true">IF($B135="","",IF($I135="Hecha","Hecha",IF($I135="Cancelada","Cancelada",IF($I135="En espera","En espera",IF($H135="","Sin fecha",IF($H135&lt;TODAY(),"Vencida",IF($H135=TODAY(),"Hoy",IF($H135-TODAY()&lt;=7,"Esta semana","Más adelante"))))))))</f>
        <v/>
      </c>
      <c r="L135" s="27"/>
      <c r="M135" s="27"/>
      <c r="N135" s="28"/>
      <c r="O135" s="30" t="str">
        <f aca="false">IF($B135="","",IF(OR($K135="Vencida",$K135="Hoy"),COUNTIF($K$7:$K135,"Vencida")+COUNTIF($K$7:$K135,"Hoy"),""))</f>
        <v/>
      </c>
      <c r="P135" s="30" t="str">
        <f aca="false">IF(OR($B135="",$H135="",$I135="Hecha",$I135="Cancelada"),"",TEXT($H135,"yyyymmdd")&amp;"-"&amp;COUNTIFS($H$7:$H135,$H135,$I$7:$I135,"&lt;&gt;Hecha",$I$7:$I135,"&lt;&gt;Cancelada"))</f>
        <v/>
      </c>
    </row>
    <row r="136" customFormat="false" ht="15" hidden="false" customHeight="false" outlineLevel="0" collapsed="false">
      <c r="A136" s="25" t="str">
        <f aca="false">IF($B136="","",ROW()-6)</f>
        <v/>
      </c>
      <c r="B136" s="27"/>
      <c r="C136" s="27"/>
      <c r="D136" s="27"/>
      <c r="E136" s="27"/>
      <c r="F136" s="27"/>
      <c r="G136" s="27"/>
      <c r="H136" s="28"/>
      <c r="I136" s="27"/>
      <c r="J136" s="25" t="str">
        <f aca="true">IF(OR($B136="",$H136=""),"",IF(OR($I136="Hecha",$I136="Cancelada"),"-",$H136-TODAY()))</f>
        <v/>
      </c>
      <c r="K136" s="31" t="str">
        <f aca="true">IF($B136="","",IF($I136="Hecha","Hecha",IF($I136="Cancelada","Cancelada",IF($I136="En espera","En espera",IF($H136="","Sin fecha",IF($H136&lt;TODAY(),"Vencida",IF($H136=TODAY(),"Hoy",IF($H136-TODAY()&lt;=7,"Esta semana","Más adelante"))))))))</f>
        <v/>
      </c>
      <c r="L136" s="27"/>
      <c r="M136" s="27"/>
      <c r="N136" s="28"/>
      <c r="O136" s="30" t="str">
        <f aca="false">IF($B136="","",IF(OR($K136="Vencida",$K136="Hoy"),COUNTIF($K$7:$K136,"Vencida")+COUNTIF($K$7:$K136,"Hoy"),""))</f>
        <v/>
      </c>
      <c r="P136" s="30" t="str">
        <f aca="false">IF(OR($B136="",$H136="",$I136="Hecha",$I136="Cancelada"),"",TEXT($H136,"yyyymmdd")&amp;"-"&amp;COUNTIFS($H$7:$H136,$H136,$I$7:$I136,"&lt;&gt;Hecha",$I$7:$I136,"&lt;&gt;Cancelada"))</f>
        <v/>
      </c>
    </row>
    <row r="137" customFormat="false" ht="15" hidden="false" customHeight="false" outlineLevel="0" collapsed="false">
      <c r="A137" s="23" t="str">
        <f aca="false">IF($B137="","",ROW()-6)</f>
        <v/>
      </c>
      <c r="B137" s="27"/>
      <c r="C137" s="27"/>
      <c r="D137" s="27"/>
      <c r="E137" s="27"/>
      <c r="F137" s="27"/>
      <c r="G137" s="27"/>
      <c r="H137" s="28"/>
      <c r="I137" s="27"/>
      <c r="J137" s="23" t="str">
        <f aca="true">IF(OR($B137="",$H137=""),"",IF(OR($I137="Hecha",$I137="Cancelada"),"-",$H137-TODAY()))</f>
        <v/>
      </c>
      <c r="K137" s="29" t="str">
        <f aca="true">IF($B137="","",IF($I137="Hecha","Hecha",IF($I137="Cancelada","Cancelada",IF($I137="En espera","En espera",IF($H137="","Sin fecha",IF($H137&lt;TODAY(),"Vencida",IF($H137=TODAY(),"Hoy",IF($H137-TODAY()&lt;=7,"Esta semana","Más adelante"))))))))</f>
        <v/>
      </c>
      <c r="L137" s="27"/>
      <c r="M137" s="27"/>
      <c r="N137" s="28"/>
      <c r="O137" s="30" t="str">
        <f aca="false">IF($B137="","",IF(OR($K137="Vencida",$K137="Hoy"),COUNTIF($K$7:$K137,"Vencida")+COUNTIF($K$7:$K137,"Hoy"),""))</f>
        <v/>
      </c>
      <c r="P137" s="30" t="str">
        <f aca="false">IF(OR($B137="",$H137="",$I137="Hecha",$I137="Cancelada"),"",TEXT($H137,"yyyymmdd")&amp;"-"&amp;COUNTIFS($H$7:$H137,$H137,$I$7:$I137,"&lt;&gt;Hecha",$I$7:$I137,"&lt;&gt;Cancelada"))</f>
        <v/>
      </c>
    </row>
    <row r="138" customFormat="false" ht="15" hidden="false" customHeight="false" outlineLevel="0" collapsed="false">
      <c r="A138" s="25" t="str">
        <f aca="false">IF($B138="","",ROW()-6)</f>
        <v/>
      </c>
      <c r="B138" s="27"/>
      <c r="C138" s="27"/>
      <c r="D138" s="27"/>
      <c r="E138" s="27"/>
      <c r="F138" s="27"/>
      <c r="G138" s="27"/>
      <c r="H138" s="28"/>
      <c r="I138" s="27"/>
      <c r="J138" s="25" t="str">
        <f aca="true">IF(OR($B138="",$H138=""),"",IF(OR($I138="Hecha",$I138="Cancelada"),"-",$H138-TODAY()))</f>
        <v/>
      </c>
      <c r="K138" s="31" t="str">
        <f aca="true">IF($B138="","",IF($I138="Hecha","Hecha",IF($I138="Cancelada","Cancelada",IF($I138="En espera","En espera",IF($H138="","Sin fecha",IF($H138&lt;TODAY(),"Vencida",IF($H138=TODAY(),"Hoy",IF($H138-TODAY()&lt;=7,"Esta semana","Más adelante"))))))))</f>
        <v/>
      </c>
      <c r="L138" s="27"/>
      <c r="M138" s="27"/>
      <c r="N138" s="28"/>
      <c r="O138" s="30" t="str">
        <f aca="false">IF($B138="","",IF(OR($K138="Vencida",$K138="Hoy"),COUNTIF($K$7:$K138,"Vencida")+COUNTIF($K$7:$K138,"Hoy"),""))</f>
        <v/>
      </c>
      <c r="P138" s="30" t="str">
        <f aca="false">IF(OR($B138="",$H138="",$I138="Hecha",$I138="Cancelada"),"",TEXT($H138,"yyyymmdd")&amp;"-"&amp;COUNTIFS($H$7:$H138,$H138,$I$7:$I138,"&lt;&gt;Hecha",$I$7:$I138,"&lt;&gt;Cancelada"))</f>
        <v/>
      </c>
    </row>
    <row r="139" customFormat="false" ht="15" hidden="false" customHeight="false" outlineLevel="0" collapsed="false">
      <c r="A139" s="23" t="str">
        <f aca="false">IF($B139="","",ROW()-6)</f>
        <v/>
      </c>
      <c r="B139" s="27"/>
      <c r="C139" s="27"/>
      <c r="D139" s="27"/>
      <c r="E139" s="27"/>
      <c r="F139" s="27"/>
      <c r="G139" s="27"/>
      <c r="H139" s="28"/>
      <c r="I139" s="27"/>
      <c r="J139" s="23" t="str">
        <f aca="true">IF(OR($B139="",$H139=""),"",IF(OR($I139="Hecha",$I139="Cancelada"),"-",$H139-TODAY()))</f>
        <v/>
      </c>
      <c r="K139" s="29" t="str">
        <f aca="true">IF($B139="","",IF($I139="Hecha","Hecha",IF($I139="Cancelada","Cancelada",IF($I139="En espera","En espera",IF($H139="","Sin fecha",IF($H139&lt;TODAY(),"Vencida",IF($H139=TODAY(),"Hoy",IF($H139-TODAY()&lt;=7,"Esta semana","Más adelante"))))))))</f>
        <v/>
      </c>
      <c r="L139" s="27"/>
      <c r="M139" s="27"/>
      <c r="N139" s="28"/>
      <c r="O139" s="30" t="str">
        <f aca="false">IF($B139="","",IF(OR($K139="Vencida",$K139="Hoy"),COUNTIF($K$7:$K139,"Vencida")+COUNTIF($K$7:$K139,"Hoy"),""))</f>
        <v/>
      </c>
      <c r="P139" s="30" t="str">
        <f aca="false">IF(OR($B139="",$H139="",$I139="Hecha",$I139="Cancelada"),"",TEXT($H139,"yyyymmdd")&amp;"-"&amp;COUNTIFS($H$7:$H139,$H139,$I$7:$I139,"&lt;&gt;Hecha",$I$7:$I139,"&lt;&gt;Cancelada"))</f>
        <v/>
      </c>
    </row>
    <row r="140" customFormat="false" ht="15" hidden="false" customHeight="false" outlineLevel="0" collapsed="false">
      <c r="A140" s="25" t="str">
        <f aca="false">IF($B140="","",ROW()-6)</f>
        <v/>
      </c>
      <c r="B140" s="27"/>
      <c r="C140" s="27"/>
      <c r="D140" s="27"/>
      <c r="E140" s="27"/>
      <c r="F140" s="27"/>
      <c r="G140" s="27"/>
      <c r="H140" s="28"/>
      <c r="I140" s="27"/>
      <c r="J140" s="25" t="str">
        <f aca="true">IF(OR($B140="",$H140=""),"",IF(OR($I140="Hecha",$I140="Cancelada"),"-",$H140-TODAY()))</f>
        <v/>
      </c>
      <c r="K140" s="31" t="str">
        <f aca="true">IF($B140="","",IF($I140="Hecha","Hecha",IF($I140="Cancelada","Cancelada",IF($I140="En espera","En espera",IF($H140="","Sin fecha",IF($H140&lt;TODAY(),"Vencida",IF($H140=TODAY(),"Hoy",IF($H140-TODAY()&lt;=7,"Esta semana","Más adelante"))))))))</f>
        <v/>
      </c>
      <c r="L140" s="27"/>
      <c r="M140" s="27"/>
      <c r="N140" s="28"/>
      <c r="O140" s="30" t="str">
        <f aca="false">IF($B140="","",IF(OR($K140="Vencida",$K140="Hoy"),COUNTIF($K$7:$K140,"Vencida")+COUNTIF($K$7:$K140,"Hoy"),""))</f>
        <v/>
      </c>
      <c r="P140" s="30" t="str">
        <f aca="false">IF(OR($B140="",$H140="",$I140="Hecha",$I140="Cancelada"),"",TEXT($H140,"yyyymmdd")&amp;"-"&amp;COUNTIFS($H$7:$H140,$H140,$I$7:$I140,"&lt;&gt;Hecha",$I$7:$I140,"&lt;&gt;Cancelada"))</f>
        <v/>
      </c>
    </row>
    <row r="141" customFormat="false" ht="15" hidden="false" customHeight="false" outlineLevel="0" collapsed="false">
      <c r="A141" s="23" t="str">
        <f aca="false">IF($B141="","",ROW()-6)</f>
        <v/>
      </c>
      <c r="B141" s="27"/>
      <c r="C141" s="27"/>
      <c r="D141" s="27"/>
      <c r="E141" s="27"/>
      <c r="F141" s="27"/>
      <c r="G141" s="27"/>
      <c r="H141" s="28"/>
      <c r="I141" s="27"/>
      <c r="J141" s="23" t="str">
        <f aca="true">IF(OR($B141="",$H141=""),"",IF(OR($I141="Hecha",$I141="Cancelada"),"-",$H141-TODAY()))</f>
        <v/>
      </c>
      <c r="K141" s="29" t="str">
        <f aca="true">IF($B141="","",IF($I141="Hecha","Hecha",IF($I141="Cancelada","Cancelada",IF($I141="En espera","En espera",IF($H141="","Sin fecha",IF($H141&lt;TODAY(),"Vencida",IF($H141=TODAY(),"Hoy",IF($H141-TODAY()&lt;=7,"Esta semana","Más adelante"))))))))</f>
        <v/>
      </c>
      <c r="L141" s="27"/>
      <c r="M141" s="27"/>
      <c r="N141" s="28"/>
      <c r="O141" s="30" t="str">
        <f aca="false">IF($B141="","",IF(OR($K141="Vencida",$K141="Hoy"),COUNTIF($K$7:$K141,"Vencida")+COUNTIF($K$7:$K141,"Hoy"),""))</f>
        <v/>
      </c>
      <c r="P141" s="30" t="str">
        <f aca="false">IF(OR($B141="",$H141="",$I141="Hecha",$I141="Cancelada"),"",TEXT($H141,"yyyymmdd")&amp;"-"&amp;COUNTIFS($H$7:$H141,$H141,$I$7:$I141,"&lt;&gt;Hecha",$I$7:$I141,"&lt;&gt;Cancelada"))</f>
        <v/>
      </c>
    </row>
    <row r="142" customFormat="false" ht="15" hidden="false" customHeight="false" outlineLevel="0" collapsed="false">
      <c r="A142" s="25" t="str">
        <f aca="false">IF($B142="","",ROW()-6)</f>
        <v/>
      </c>
      <c r="B142" s="27"/>
      <c r="C142" s="27"/>
      <c r="D142" s="27"/>
      <c r="E142" s="27"/>
      <c r="F142" s="27"/>
      <c r="G142" s="27"/>
      <c r="H142" s="28"/>
      <c r="I142" s="27"/>
      <c r="J142" s="25" t="str">
        <f aca="true">IF(OR($B142="",$H142=""),"",IF(OR($I142="Hecha",$I142="Cancelada"),"-",$H142-TODAY()))</f>
        <v/>
      </c>
      <c r="K142" s="31" t="str">
        <f aca="true">IF($B142="","",IF($I142="Hecha","Hecha",IF($I142="Cancelada","Cancelada",IF($I142="En espera","En espera",IF($H142="","Sin fecha",IF($H142&lt;TODAY(),"Vencida",IF($H142=TODAY(),"Hoy",IF($H142-TODAY()&lt;=7,"Esta semana","Más adelante"))))))))</f>
        <v/>
      </c>
      <c r="L142" s="27"/>
      <c r="M142" s="27"/>
      <c r="N142" s="28"/>
      <c r="O142" s="30" t="str">
        <f aca="false">IF($B142="","",IF(OR($K142="Vencida",$K142="Hoy"),COUNTIF($K$7:$K142,"Vencida")+COUNTIF($K$7:$K142,"Hoy"),""))</f>
        <v/>
      </c>
      <c r="P142" s="30" t="str">
        <f aca="false">IF(OR($B142="",$H142="",$I142="Hecha",$I142="Cancelada"),"",TEXT($H142,"yyyymmdd")&amp;"-"&amp;COUNTIFS($H$7:$H142,$H142,$I$7:$I142,"&lt;&gt;Hecha",$I$7:$I142,"&lt;&gt;Cancelada"))</f>
        <v/>
      </c>
    </row>
    <row r="143" customFormat="false" ht="15" hidden="false" customHeight="false" outlineLevel="0" collapsed="false">
      <c r="A143" s="23" t="str">
        <f aca="false">IF($B143="","",ROW()-6)</f>
        <v/>
      </c>
      <c r="B143" s="27"/>
      <c r="C143" s="27"/>
      <c r="D143" s="27"/>
      <c r="E143" s="27"/>
      <c r="F143" s="27"/>
      <c r="G143" s="27"/>
      <c r="H143" s="28"/>
      <c r="I143" s="27"/>
      <c r="J143" s="23" t="str">
        <f aca="true">IF(OR($B143="",$H143=""),"",IF(OR($I143="Hecha",$I143="Cancelada"),"-",$H143-TODAY()))</f>
        <v/>
      </c>
      <c r="K143" s="29" t="str">
        <f aca="true">IF($B143="","",IF($I143="Hecha","Hecha",IF($I143="Cancelada","Cancelada",IF($I143="En espera","En espera",IF($H143="","Sin fecha",IF($H143&lt;TODAY(),"Vencida",IF($H143=TODAY(),"Hoy",IF($H143-TODAY()&lt;=7,"Esta semana","Más adelante"))))))))</f>
        <v/>
      </c>
      <c r="L143" s="27"/>
      <c r="M143" s="27"/>
      <c r="N143" s="28"/>
      <c r="O143" s="30" t="str">
        <f aca="false">IF($B143="","",IF(OR($K143="Vencida",$K143="Hoy"),COUNTIF($K$7:$K143,"Vencida")+COUNTIF($K$7:$K143,"Hoy"),""))</f>
        <v/>
      </c>
      <c r="P143" s="30" t="str">
        <f aca="false">IF(OR($B143="",$H143="",$I143="Hecha",$I143="Cancelada"),"",TEXT($H143,"yyyymmdd")&amp;"-"&amp;COUNTIFS($H$7:$H143,$H143,$I$7:$I143,"&lt;&gt;Hecha",$I$7:$I143,"&lt;&gt;Cancelada"))</f>
        <v/>
      </c>
    </row>
    <row r="144" customFormat="false" ht="15" hidden="false" customHeight="false" outlineLevel="0" collapsed="false">
      <c r="A144" s="25" t="str">
        <f aca="false">IF($B144="","",ROW()-6)</f>
        <v/>
      </c>
      <c r="B144" s="27"/>
      <c r="C144" s="27"/>
      <c r="D144" s="27"/>
      <c r="E144" s="27"/>
      <c r="F144" s="27"/>
      <c r="G144" s="27"/>
      <c r="H144" s="28"/>
      <c r="I144" s="27"/>
      <c r="J144" s="25" t="str">
        <f aca="true">IF(OR($B144="",$H144=""),"",IF(OR($I144="Hecha",$I144="Cancelada"),"-",$H144-TODAY()))</f>
        <v/>
      </c>
      <c r="K144" s="31" t="str">
        <f aca="true">IF($B144="","",IF($I144="Hecha","Hecha",IF($I144="Cancelada","Cancelada",IF($I144="En espera","En espera",IF($H144="","Sin fecha",IF($H144&lt;TODAY(),"Vencida",IF($H144=TODAY(),"Hoy",IF($H144-TODAY()&lt;=7,"Esta semana","Más adelante"))))))))</f>
        <v/>
      </c>
      <c r="L144" s="27"/>
      <c r="M144" s="27"/>
      <c r="N144" s="28"/>
      <c r="O144" s="30" t="str">
        <f aca="false">IF($B144="","",IF(OR($K144="Vencida",$K144="Hoy"),COUNTIF($K$7:$K144,"Vencida")+COUNTIF($K$7:$K144,"Hoy"),""))</f>
        <v/>
      </c>
      <c r="P144" s="30" t="str">
        <f aca="false">IF(OR($B144="",$H144="",$I144="Hecha",$I144="Cancelada"),"",TEXT($H144,"yyyymmdd")&amp;"-"&amp;COUNTIFS($H$7:$H144,$H144,$I$7:$I144,"&lt;&gt;Hecha",$I$7:$I144,"&lt;&gt;Cancelada"))</f>
        <v/>
      </c>
    </row>
    <row r="145" customFormat="false" ht="15" hidden="false" customHeight="false" outlineLevel="0" collapsed="false">
      <c r="A145" s="23" t="str">
        <f aca="false">IF($B145="","",ROW()-6)</f>
        <v/>
      </c>
      <c r="B145" s="27"/>
      <c r="C145" s="27"/>
      <c r="D145" s="27"/>
      <c r="E145" s="27"/>
      <c r="F145" s="27"/>
      <c r="G145" s="27"/>
      <c r="H145" s="28"/>
      <c r="I145" s="27"/>
      <c r="J145" s="23" t="str">
        <f aca="true">IF(OR($B145="",$H145=""),"",IF(OR($I145="Hecha",$I145="Cancelada"),"-",$H145-TODAY()))</f>
        <v/>
      </c>
      <c r="K145" s="29" t="str">
        <f aca="true">IF($B145="","",IF($I145="Hecha","Hecha",IF($I145="Cancelada","Cancelada",IF($I145="En espera","En espera",IF($H145="","Sin fecha",IF($H145&lt;TODAY(),"Vencida",IF($H145=TODAY(),"Hoy",IF($H145-TODAY()&lt;=7,"Esta semana","Más adelante"))))))))</f>
        <v/>
      </c>
      <c r="L145" s="27"/>
      <c r="M145" s="27"/>
      <c r="N145" s="28"/>
      <c r="O145" s="30" t="str">
        <f aca="false">IF($B145="","",IF(OR($K145="Vencida",$K145="Hoy"),COUNTIF($K$7:$K145,"Vencida")+COUNTIF($K$7:$K145,"Hoy"),""))</f>
        <v/>
      </c>
      <c r="P145" s="30" t="str">
        <f aca="false">IF(OR($B145="",$H145="",$I145="Hecha",$I145="Cancelada"),"",TEXT($H145,"yyyymmdd")&amp;"-"&amp;COUNTIFS($H$7:$H145,$H145,$I$7:$I145,"&lt;&gt;Hecha",$I$7:$I145,"&lt;&gt;Cancelada"))</f>
        <v/>
      </c>
    </row>
    <row r="146" customFormat="false" ht="15" hidden="false" customHeight="false" outlineLevel="0" collapsed="false">
      <c r="A146" s="25" t="str">
        <f aca="false">IF($B146="","",ROW()-6)</f>
        <v/>
      </c>
      <c r="B146" s="27"/>
      <c r="C146" s="27"/>
      <c r="D146" s="27"/>
      <c r="E146" s="27"/>
      <c r="F146" s="27"/>
      <c r="G146" s="27"/>
      <c r="H146" s="28"/>
      <c r="I146" s="27"/>
      <c r="J146" s="25" t="str">
        <f aca="true">IF(OR($B146="",$H146=""),"",IF(OR($I146="Hecha",$I146="Cancelada"),"-",$H146-TODAY()))</f>
        <v/>
      </c>
      <c r="K146" s="31" t="str">
        <f aca="true">IF($B146="","",IF($I146="Hecha","Hecha",IF($I146="Cancelada","Cancelada",IF($I146="En espera","En espera",IF($H146="","Sin fecha",IF($H146&lt;TODAY(),"Vencida",IF($H146=TODAY(),"Hoy",IF($H146-TODAY()&lt;=7,"Esta semana","Más adelante"))))))))</f>
        <v/>
      </c>
      <c r="L146" s="27"/>
      <c r="M146" s="27"/>
      <c r="N146" s="28"/>
      <c r="O146" s="30" t="str">
        <f aca="false">IF($B146="","",IF(OR($K146="Vencida",$K146="Hoy"),COUNTIF($K$7:$K146,"Vencida")+COUNTIF($K$7:$K146,"Hoy"),""))</f>
        <v/>
      </c>
      <c r="P146" s="30" t="str">
        <f aca="false">IF(OR($B146="",$H146="",$I146="Hecha",$I146="Cancelada"),"",TEXT($H146,"yyyymmdd")&amp;"-"&amp;COUNTIFS($H$7:$H146,$H146,$I$7:$I146,"&lt;&gt;Hecha",$I$7:$I146,"&lt;&gt;Cancelada"))</f>
        <v/>
      </c>
    </row>
    <row r="147" customFormat="false" ht="15" hidden="false" customHeight="false" outlineLevel="0" collapsed="false">
      <c r="A147" s="23" t="str">
        <f aca="false">IF($B147="","",ROW()-6)</f>
        <v/>
      </c>
      <c r="B147" s="27"/>
      <c r="C147" s="27"/>
      <c r="D147" s="27"/>
      <c r="E147" s="27"/>
      <c r="F147" s="27"/>
      <c r="G147" s="27"/>
      <c r="H147" s="28"/>
      <c r="I147" s="27"/>
      <c r="J147" s="23" t="str">
        <f aca="true">IF(OR($B147="",$H147=""),"",IF(OR($I147="Hecha",$I147="Cancelada"),"-",$H147-TODAY()))</f>
        <v/>
      </c>
      <c r="K147" s="29" t="str">
        <f aca="true">IF($B147="","",IF($I147="Hecha","Hecha",IF($I147="Cancelada","Cancelada",IF($I147="En espera","En espera",IF($H147="","Sin fecha",IF($H147&lt;TODAY(),"Vencida",IF($H147=TODAY(),"Hoy",IF($H147-TODAY()&lt;=7,"Esta semana","Más adelante"))))))))</f>
        <v/>
      </c>
      <c r="L147" s="27"/>
      <c r="M147" s="27"/>
      <c r="N147" s="28"/>
      <c r="O147" s="30" t="str">
        <f aca="false">IF($B147="","",IF(OR($K147="Vencida",$K147="Hoy"),COUNTIF($K$7:$K147,"Vencida")+COUNTIF($K$7:$K147,"Hoy"),""))</f>
        <v/>
      </c>
      <c r="P147" s="30" t="str">
        <f aca="false">IF(OR($B147="",$H147="",$I147="Hecha",$I147="Cancelada"),"",TEXT($H147,"yyyymmdd")&amp;"-"&amp;COUNTIFS($H$7:$H147,$H147,$I$7:$I147,"&lt;&gt;Hecha",$I$7:$I147,"&lt;&gt;Cancelada"))</f>
        <v/>
      </c>
    </row>
    <row r="148" customFormat="false" ht="15" hidden="false" customHeight="false" outlineLevel="0" collapsed="false">
      <c r="A148" s="25" t="str">
        <f aca="false">IF($B148="","",ROW()-6)</f>
        <v/>
      </c>
      <c r="B148" s="27"/>
      <c r="C148" s="27"/>
      <c r="D148" s="27"/>
      <c r="E148" s="27"/>
      <c r="F148" s="27"/>
      <c r="G148" s="27"/>
      <c r="H148" s="28"/>
      <c r="I148" s="27"/>
      <c r="J148" s="25" t="str">
        <f aca="true">IF(OR($B148="",$H148=""),"",IF(OR($I148="Hecha",$I148="Cancelada"),"-",$H148-TODAY()))</f>
        <v/>
      </c>
      <c r="K148" s="31" t="str">
        <f aca="true">IF($B148="","",IF($I148="Hecha","Hecha",IF($I148="Cancelada","Cancelada",IF($I148="En espera","En espera",IF($H148="","Sin fecha",IF($H148&lt;TODAY(),"Vencida",IF($H148=TODAY(),"Hoy",IF($H148-TODAY()&lt;=7,"Esta semana","Más adelante"))))))))</f>
        <v/>
      </c>
      <c r="L148" s="27"/>
      <c r="M148" s="27"/>
      <c r="N148" s="28"/>
      <c r="O148" s="30" t="str">
        <f aca="false">IF($B148="","",IF(OR($K148="Vencida",$K148="Hoy"),COUNTIF($K$7:$K148,"Vencida")+COUNTIF($K$7:$K148,"Hoy"),""))</f>
        <v/>
      </c>
      <c r="P148" s="30" t="str">
        <f aca="false">IF(OR($B148="",$H148="",$I148="Hecha",$I148="Cancelada"),"",TEXT($H148,"yyyymmdd")&amp;"-"&amp;COUNTIFS($H$7:$H148,$H148,$I$7:$I148,"&lt;&gt;Hecha",$I$7:$I148,"&lt;&gt;Cancelada"))</f>
        <v/>
      </c>
    </row>
    <row r="149" customFormat="false" ht="15" hidden="false" customHeight="false" outlineLevel="0" collapsed="false">
      <c r="A149" s="23" t="str">
        <f aca="false">IF($B149="","",ROW()-6)</f>
        <v/>
      </c>
      <c r="B149" s="27"/>
      <c r="C149" s="27"/>
      <c r="D149" s="27"/>
      <c r="E149" s="27"/>
      <c r="F149" s="27"/>
      <c r="G149" s="27"/>
      <c r="H149" s="28"/>
      <c r="I149" s="27"/>
      <c r="J149" s="23" t="str">
        <f aca="true">IF(OR($B149="",$H149=""),"",IF(OR($I149="Hecha",$I149="Cancelada"),"-",$H149-TODAY()))</f>
        <v/>
      </c>
      <c r="K149" s="29" t="str">
        <f aca="true">IF($B149="","",IF($I149="Hecha","Hecha",IF($I149="Cancelada","Cancelada",IF($I149="En espera","En espera",IF($H149="","Sin fecha",IF($H149&lt;TODAY(),"Vencida",IF($H149=TODAY(),"Hoy",IF($H149-TODAY()&lt;=7,"Esta semana","Más adelante"))))))))</f>
        <v/>
      </c>
      <c r="L149" s="27"/>
      <c r="M149" s="27"/>
      <c r="N149" s="28"/>
      <c r="O149" s="30" t="str">
        <f aca="false">IF($B149="","",IF(OR($K149="Vencida",$K149="Hoy"),COUNTIF($K$7:$K149,"Vencida")+COUNTIF($K$7:$K149,"Hoy"),""))</f>
        <v/>
      </c>
      <c r="P149" s="30" t="str">
        <f aca="false">IF(OR($B149="",$H149="",$I149="Hecha",$I149="Cancelada"),"",TEXT($H149,"yyyymmdd")&amp;"-"&amp;COUNTIFS($H$7:$H149,$H149,$I$7:$I149,"&lt;&gt;Hecha",$I$7:$I149,"&lt;&gt;Cancelada"))</f>
        <v/>
      </c>
    </row>
    <row r="150" customFormat="false" ht="15" hidden="false" customHeight="false" outlineLevel="0" collapsed="false">
      <c r="A150" s="25" t="str">
        <f aca="false">IF($B150="","",ROW()-6)</f>
        <v/>
      </c>
      <c r="B150" s="27"/>
      <c r="C150" s="27"/>
      <c r="D150" s="27"/>
      <c r="E150" s="27"/>
      <c r="F150" s="27"/>
      <c r="G150" s="27"/>
      <c r="H150" s="28"/>
      <c r="I150" s="27"/>
      <c r="J150" s="25" t="str">
        <f aca="true">IF(OR($B150="",$H150=""),"",IF(OR($I150="Hecha",$I150="Cancelada"),"-",$H150-TODAY()))</f>
        <v/>
      </c>
      <c r="K150" s="31" t="str">
        <f aca="true">IF($B150="","",IF($I150="Hecha","Hecha",IF($I150="Cancelada","Cancelada",IF($I150="En espera","En espera",IF($H150="","Sin fecha",IF($H150&lt;TODAY(),"Vencida",IF($H150=TODAY(),"Hoy",IF($H150-TODAY()&lt;=7,"Esta semana","Más adelante"))))))))</f>
        <v/>
      </c>
      <c r="L150" s="27"/>
      <c r="M150" s="27"/>
      <c r="N150" s="28"/>
      <c r="O150" s="30" t="str">
        <f aca="false">IF($B150="","",IF(OR($K150="Vencida",$K150="Hoy"),COUNTIF($K$7:$K150,"Vencida")+COUNTIF($K$7:$K150,"Hoy"),""))</f>
        <v/>
      </c>
      <c r="P150" s="30" t="str">
        <f aca="false">IF(OR($B150="",$H150="",$I150="Hecha",$I150="Cancelada"),"",TEXT($H150,"yyyymmdd")&amp;"-"&amp;COUNTIFS($H$7:$H150,$H150,$I$7:$I150,"&lt;&gt;Hecha",$I$7:$I150,"&lt;&gt;Cancelada"))</f>
        <v/>
      </c>
    </row>
    <row r="151" customFormat="false" ht="15" hidden="false" customHeight="false" outlineLevel="0" collapsed="false">
      <c r="A151" s="23" t="str">
        <f aca="false">IF($B151="","",ROW()-6)</f>
        <v/>
      </c>
      <c r="B151" s="27"/>
      <c r="C151" s="27"/>
      <c r="D151" s="27"/>
      <c r="E151" s="27"/>
      <c r="F151" s="27"/>
      <c r="G151" s="27"/>
      <c r="H151" s="28"/>
      <c r="I151" s="27"/>
      <c r="J151" s="23" t="str">
        <f aca="true">IF(OR($B151="",$H151=""),"",IF(OR($I151="Hecha",$I151="Cancelada"),"-",$H151-TODAY()))</f>
        <v/>
      </c>
      <c r="K151" s="29" t="str">
        <f aca="true">IF($B151="","",IF($I151="Hecha","Hecha",IF($I151="Cancelada","Cancelada",IF($I151="En espera","En espera",IF($H151="","Sin fecha",IF($H151&lt;TODAY(),"Vencida",IF($H151=TODAY(),"Hoy",IF($H151-TODAY()&lt;=7,"Esta semana","Más adelante"))))))))</f>
        <v/>
      </c>
      <c r="L151" s="27"/>
      <c r="M151" s="27"/>
      <c r="N151" s="28"/>
      <c r="O151" s="30" t="str">
        <f aca="false">IF($B151="","",IF(OR($K151="Vencida",$K151="Hoy"),COUNTIF($K$7:$K151,"Vencida")+COUNTIF($K$7:$K151,"Hoy"),""))</f>
        <v/>
      </c>
      <c r="P151" s="30" t="str">
        <f aca="false">IF(OR($B151="",$H151="",$I151="Hecha",$I151="Cancelada"),"",TEXT($H151,"yyyymmdd")&amp;"-"&amp;COUNTIFS($H$7:$H151,$H151,$I$7:$I151,"&lt;&gt;Hecha",$I$7:$I151,"&lt;&gt;Cancelada"))</f>
        <v/>
      </c>
    </row>
    <row r="152" customFormat="false" ht="15" hidden="false" customHeight="false" outlineLevel="0" collapsed="false">
      <c r="A152" s="25" t="str">
        <f aca="false">IF($B152="","",ROW()-6)</f>
        <v/>
      </c>
      <c r="B152" s="27"/>
      <c r="C152" s="27"/>
      <c r="D152" s="27"/>
      <c r="E152" s="27"/>
      <c r="F152" s="27"/>
      <c r="G152" s="27"/>
      <c r="H152" s="28"/>
      <c r="I152" s="27"/>
      <c r="J152" s="25" t="str">
        <f aca="true">IF(OR($B152="",$H152=""),"",IF(OR($I152="Hecha",$I152="Cancelada"),"-",$H152-TODAY()))</f>
        <v/>
      </c>
      <c r="K152" s="31" t="str">
        <f aca="true">IF($B152="","",IF($I152="Hecha","Hecha",IF($I152="Cancelada","Cancelada",IF($I152="En espera","En espera",IF($H152="","Sin fecha",IF($H152&lt;TODAY(),"Vencida",IF($H152=TODAY(),"Hoy",IF($H152-TODAY()&lt;=7,"Esta semana","Más adelante"))))))))</f>
        <v/>
      </c>
      <c r="L152" s="27"/>
      <c r="M152" s="27"/>
      <c r="N152" s="28"/>
      <c r="O152" s="30" t="str">
        <f aca="false">IF($B152="","",IF(OR($K152="Vencida",$K152="Hoy"),COUNTIF($K$7:$K152,"Vencida")+COUNTIF($K$7:$K152,"Hoy"),""))</f>
        <v/>
      </c>
      <c r="P152" s="30" t="str">
        <f aca="false">IF(OR($B152="",$H152="",$I152="Hecha",$I152="Cancelada"),"",TEXT($H152,"yyyymmdd")&amp;"-"&amp;COUNTIFS($H$7:$H152,$H152,$I$7:$I152,"&lt;&gt;Hecha",$I$7:$I152,"&lt;&gt;Cancelada"))</f>
        <v/>
      </c>
    </row>
    <row r="153" customFormat="false" ht="15" hidden="false" customHeight="false" outlineLevel="0" collapsed="false">
      <c r="A153" s="23" t="str">
        <f aca="false">IF($B153="","",ROW()-6)</f>
        <v/>
      </c>
      <c r="B153" s="27"/>
      <c r="C153" s="27"/>
      <c r="D153" s="27"/>
      <c r="E153" s="27"/>
      <c r="F153" s="27"/>
      <c r="G153" s="27"/>
      <c r="H153" s="28"/>
      <c r="I153" s="27"/>
      <c r="J153" s="23" t="str">
        <f aca="true">IF(OR($B153="",$H153=""),"",IF(OR($I153="Hecha",$I153="Cancelada"),"-",$H153-TODAY()))</f>
        <v/>
      </c>
      <c r="K153" s="29" t="str">
        <f aca="true">IF($B153="","",IF($I153="Hecha","Hecha",IF($I153="Cancelada","Cancelada",IF($I153="En espera","En espera",IF($H153="","Sin fecha",IF($H153&lt;TODAY(),"Vencida",IF($H153=TODAY(),"Hoy",IF($H153-TODAY()&lt;=7,"Esta semana","Más adelante"))))))))</f>
        <v/>
      </c>
      <c r="L153" s="27"/>
      <c r="M153" s="27"/>
      <c r="N153" s="28"/>
      <c r="O153" s="30" t="str">
        <f aca="false">IF($B153="","",IF(OR($K153="Vencida",$K153="Hoy"),COUNTIF($K$7:$K153,"Vencida")+COUNTIF($K$7:$K153,"Hoy"),""))</f>
        <v/>
      </c>
      <c r="P153" s="30" t="str">
        <f aca="false">IF(OR($B153="",$H153="",$I153="Hecha",$I153="Cancelada"),"",TEXT($H153,"yyyymmdd")&amp;"-"&amp;COUNTIFS($H$7:$H153,$H153,$I$7:$I153,"&lt;&gt;Hecha",$I$7:$I153,"&lt;&gt;Cancelada"))</f>
        <v/>
      </c>
    </row>
    <row r="154" customFormat="false" ht="15" hidden="false" customHeight="false" outlineLevel="0" collapsed="false">
      <c r="A154" s="25" t="str">
        <f aca="false">IF($B154="","",ROW()-6)</f>
        <v/>
      </c>
      <c r="B154" s="27"/>
      <c r="C154" s="27"/>
      <c r="D154" s="27"/>
      <c r="E154" s="27"/>
      <c r="F154" s="27"/>
      <c r="G154" s="27"/>
      <c r="H154" s="28"/>
      <c r="I154" s="27"/>
      <c r="J154" s="25" t="str">
        <f aca="true">IF(OR($B154="",$H154=""),"",IF(OR($I154="Hecha",$I154="Cancelada"),"-",$H154-TODAY()))</f>
        <v/>
      </c>
      <c r="K154" s="31" t="str">
        <f aca="true">IF($B154="","",IF($I154="Hecha","Hecha",IF($I154="Cancelada","Cancelada",IF($I154="En espera","En espera",IF($H154="","Sin fecha",IF($H154&lt;TODAY(),"Vencida",IF($H154=TODAY(),"Hoy",IF($H154-TODAY()&lt;=7,"Esta semana","Más adelante"))))))))</f>
        <v/>
      </c>
      <c r="L154" s="27"/>
      <c r="M154" s="27"/>
      <c r="N154" s="28"/>
      <c r="O154" s="30" t="str">
        <f aca="false">IF($B154="","",IF(OR($K154="Vencida",$K154="Hoy"),COUNTIF($K$7:$K154,"Vencida")+COUNTIF($K$7:$K154,"Hoy"),""))</f>
        <v/>
      </c>
      <c r="P154" s="30" t="str">
        <f aca="false">IF(OR($B154="",$H154="",$I154="Hecha",$I154="Cancelada"),"",TEXT($H154,"yyyymmdd")&amp;"-"&amp;COUNTIFS($H$7:$H154,$H154,$I$7:$I154,"&lt;&gt;Hecha",$I$7:$I154,"&lt;&gt;Cancelada"))</f>
        <v/>
      </c>
    </row>
    <row r="155" customFormat="false" ht="15" hidden="false" customHeight="false" outlineLevel="0" collapsed="false">
      <c r="A155" s="23" t="str">
        <f aca="false">IF($B155="","",ROW()-6)</f>
        <v/>
      </c>
      <c r="B155" s="27"/>
      <c r="C155" s="27"/>
      <c r="D155" s="27"/>
      <c r="E155" s="27"/>
      <c r="F155" s="27"/>
      <c r="G155" s="27"/>
      <c r="H155" s="28"/>
      <c r="I155" s="27"/>
      <c r="J155" s="23" t="str">
        <f aca="true">IF(OR($B155="",$H155=""),"",IF(OR($I155="Hecha",$I155="Cancelada"),"-",$H155-TODAY()))</f>
        <v/>
      </c>
      <c r="K155" s="29" t="str">
        <f aca="true">IF($B155="","",IF($I155="Hecha","Hecha",IF($I155="Cancelada","Cancelada",IF($I155="En espera","En espera",IF($H155="","Sin fecha",IF($H155&lt;TODAY(),"Vencida",IF($H155=TODAY(),"Hoy",IF($H155-TODAY()&lt;=7,"Esta semana","Más adelante"))))))))</f>
        <v/>
      </c>
      <c r="L155" s="27"/>
      <c r="M155" s="27"/>
      <c r="N155" s="28"/>
      <c r="O155" s="30" t="str">
        <f aca="false">IF($B155="","",IF(OR($K155="Vencida",$K155="Hoy"),COUNTIF($K$7:$K155,"Vencida")+COUNTIF($K$7:$K155,"Hoy"),""))</f>
        <v/>
      </c>
      <c r="P155" s="30" t="str">
        <f aca="false">IF(OR($B155="",$H155="",$I155="Hecha",$I155="Cancelada"),"",TEXT($H155,"yyyymmdd")&amp;"-"&amp;COUNTIFS($H$7:$H155,$H155,$I$7:$I155,"&lt;&gt;Hecha",$I$7:$I155,"&lt;&gt;Cancelada"))</f>
        <v/>
      </c>
    </row>
    <row r="156" customFormat="false" ht="15" hidden="false" customHeight="false" outlineLevel="0" collapsed="false">
      <c r="A156" s="25" t="str">
        <f aca="false">IF($B156="","",ROW()-6)</f>
        <v/>
      </c>
      <c r="B156" s="27"/>
      <c r="C156" s="27"/>
      <c r="D156" s="27"/>
      <c r="E156" s="27"/>
      <c r="F156" s="27"/>
      <c r="G156" s="27"/>
      <c r="H156" s="28"/>
      <c r="I156" s="27"/>
      <c r="J156" s="25" t="str">
        <f aca="true">IF(OR($B156="",$H156=""),"",IF(OR($I156="Hecha",$I156="Cancelada"),"-",$H156-TODAY()))</f>
        <v/>
      </c>
      <c r="K156" s="31" t="str">
        <f aca="true">IF($B156="","",IF($I156="Hecha","Hecha",IF($I156="Cancelada","Cancelada",IF($I156="En espera","En espera",IF($H156="","Sin fecha",IF($H156&lt;TODAY(),"Vencida",IF($H156=TODAY(),"Hoy",IF($H156-TODAY()&lt;=7,"Esta semana","Más adelante"))))))))</f>
        <v/>
      </c>
      <c r="L156" s="27"/>
      <c r="M156" s="27"/>
      <c r="N156" s="28"/>
      <c r="O156" s="30" t="str">
        <f aca="false">IF($B156="","",IF(OR($K156="Vencida",$K156="Hoy"),COUNTIF($K$7:$K156,"Vencida")+COUNTIF($K$7:$K156,"Hoy"),""))</f>
        <v/>
      </c>
      <c r="P156" s="30" t="str">
        <f aca="false">IF(OR($B156="",$H156="",$I156="Hecha",$I156="Cancelada"),"",TEXT($H156,"yyyymmdd")&amp;"-"&amp;COUNTIFS($H$7:$H156,$H156,$I$7:$I156,"&lt;&gt;Hecha",$I$7:$I156,"&lt;&gt;Cancelada"))</f>
        <v/>
      </c>
    </row>
    <row r="157" customFormat="false" ht="15" hidden="false" customHeight="false" outlineLevel="0" collapsed="false">
      <c r="A157" s="23" t="str">
        <f aca="false">IF($B157="","",ROW()-6)</f>
        <v/>
      </c>
      <c r="B157" s="27"/>
      <c r="C157" s="27"/>
      <c r="D157" s="27"/>
      <c r="E157" s="27"/>
      <c r="F157" s="27"/>
      <c r="G157" s="27"/>
      <c r="H157" s="28"/>
      <c r="I157" s="27"/>
      <c r="J157" s="23" t="str">
        <f aca="true">IF(OR($B157="",$H157=""),"",IF(OR($I157="Hecha",$I157="Cancelada"),"-",$H157-TODAY()))</f>
        <v/>
      </c>
      <c r="K157" s="29" t="str">
        <f aca="true">IF($B157="","",IF($I157="Hecha","Hecha",IF($I157="Cancelada","Cancelada",IF($I157="En espera","En espera",IF($H157="","Sin fecha",IF($H157&lt;TODAY(),"Vencida",IF($H157=TODAY(),"Hoy",IF($H157-TODAY()&lt;=7,"Esta semana","Más adelante"))))))))</f>
        <v/>
      </c>
      <c r="L157" s="27"/>
      <c r="M157" s="27"/>
      <c r="N157" s="28"/>
      <c r="O157" s="30" t="str">
        <f aca="false">IF($B157="","",IF(OR($K157="Vencida",$K157="Hoy"),COUNTIF($K$7:$K157,"Vencida")+COUNTIF($K$7:$K157,"Hoy"),""))</f>
        <v/>
      </c>
      <c r="P157" s="30" t="str">
        <f aca="false">IF(OR($B157="",$H157="",$I157="Hecha",$I157="Cancelada"),"",TEXT($H157,"yyyymmdd")&amp;"-"&amp;COUNTIFS($H$7:$H157,$H157,$I$7:$I157,"&lt;&gt;Hecha",$I$7:$I157,"&lt;&gt;Cancelada"))</f>
        <v/>
      </c>
    </row>
    <row r="158" customFormat="false" ht="15" hidden="false" customHeight="false" outlineLevel="0" collapsed="false">
      <c r="A158" s="25" t="str">
        <f aca="false">IF($B158="","",ROW()-6)</f>
        <v/>
      </c>
      <c r="B158" s="27"/>
      <c r="C158" s="27"/>
      <c r="D158" s="27"/>
      <c r="E158" s="27"/>
      <c r="F158" s="27"/>
      <c r="G158" s="27"/>
      <c r="H158" s="28"/>
      <c r="I158" s="27"/>
      <c r="J158" s="25" t="str">
        <f aca="true">IF(OR($B158="",$H158=""),"",IF(OR($I158="Hecha",$I158="Cancelada"),"-",$H158-TODAY()))</f>
        <v/>
      </c>
      <c r="K158" s="31" t="str">
        <f aca="true">IF($B158="","",IF($I158="Hecha","Hecha",IF($I158="Cancelada","Cancelada",IF($I158="En espera","En espera",IF($H158="","Sin fecha",IF($H158&lt;TODAY(),"Vencida",IF($H158=TODAY(),"Hoy",IF($H158-TODAY()&lt;=7,"Esta semana","Más adelante"))))))))</f>
        <v/>
      </c>
      <c r="L158" s="27"/>
      <c r="M158" s="27"/>
      <c r="N158" s="28"/>
      <c r="O158" s="30" t="str">
        <f aca="false">IF($B158="","",IF(OR($K158="Vencida",$K158="Hoy"),COUNTIF($K$7:$K158,"Vencida")+COUNTIF($K$7:$K158,"Hoy"),""))</f>
        <v/>
      </c>
      <c r="P158" s="30" t="str">
        <f aca="false">IF(OR($B158="",$H158="",$I158="Hecha",$I158="Cancelada"),"",TEXT($H158,"yyyymmdd")&amp;"-"&amp;COUNTIFS($H$7:$H158,$H158,$I$7:$I158,"&lt;&gt;Hecha",$I$7:$I158,"&lt;&gt;Cancelada"))</f>
        <v/>
      </c>
    </row>
    <row r="159" customFormat="false" ht="15" hidden="false" customHeight="false" outlineLevel="0" collapsed="false">
      <c r="A159" s="23" t="str">
        <f aca="false">IF($B159="","",ROW()-6)</f>
        <v/>
      </c>
      <c r="B159" s="27"/>
      <c r="C159" s="27"/>
      <c r="D159" s="27"/>
      <c r="E159" s="27"/>
      <c r="F159" s="27"/>
      <c r="G159" s="27"/>
      <c r="H159" s="28"/>
      <c r="I159" s="27"/>
      <c r="J159" s="23" t="str">
        <f aca="true">IF(OR($B159="",$H159=""),"",IF(OR($I159="Hecha",$I159="Cancelada"),"-",$H159-TODAY()))</f>
        <v/>
      </c>
      <c r="K159" s="29" t="str">
        <f aca="true">IF($B159="","",IF($I159="Hecha","Hecha",IF($I159="Cancelada","Cancelada",IF($I159="En espera","En espera",IF($H159="","Sin fecha",IF($H159&lt;TODAY(),"Vencida",IF($H159=TODAY(),"Hoy",IF($H159-TODAY()&lt;=7,"Esta semana","Más adelante"))))))))</f>
        <v/>
      </c>
      <c r="L159" s="27"/>
      <c r="M159" s="27"/>
      <c r="N159" s="28"/>
      <c r="O159" s="30" t="str">
        <f aca="false">IF($B159="","",IF(OR($K159="Vencida",$K159="Hoy"),COUNTIF($K$7:$K159,"Vencida")+COUNTIF($K$7:$K159,"Hoy"),""))</f>
        <v/>
      </c>
      <c r="P159" s="30" t="str">
        <f aca="false">IF(OR($B159="",$H159="",$I159="Hecha",$I159="Cancelada"),"",TEXT($H159,"yyyymmdd")&amp;"-"&amp;COUNTIFS($H$7:$H159,$H159,$I$7:$I159,"&lt;&gt;Hecha",$I$7:$I159,"&lt;&gt;Cancelada"))</f>
        <v/>
      </c>
    </row>
    <row r="160" customFormat="false" ht="15" hidden="false" customHeight="false" outlineLevel="0" collapsed="false">
      <c r="A160" s="25" t="str">
        <f aca="false">IF($B160="","",ROW()-6)</f>
        <v/>
      </c>
      <c r="B160" s="27"/>
      <c r="C160" s="27"/>
      <c r="D160" s="27"/>
      <c r="E160" s="27"/>
      <c r="F160" s="27"/>
      <c r="G160" s="27"/>
      <c r="H160" s="28"/>
      <c r="I160" s="27"/>
      <c r="J160" s="25" t="str">
        <f aca="true">IF(OR($B160="",$H160=""),"",IF(OR($I160="Hecha",$I160="Cancelada"),"-",$H160-TODAY()))</f>
        <v/>
      </c>
      <c r="K160" s="31" t="str">
        <f aca="true">IF($B160="","",IF($I160="Hecha","Hecha",IF($I160="Cancelada","Cancelada",IF($I160="En espera","En espera",IF($H160="","Sin fecha",IF($H160&lt;TODAY(),"Vencida",IF($H160=TODAY(),"Hoy",IF($H160-TODAY()&lt;=7,"Esta semana","Más adelante"))))))))</f>
        <v/>
      </c>
      <c r="L160" s="27"/>
      <c r="M160" s="27"/>
      <c r="N160" s="28"/>
      <c r="O160" s="30" t="str">
        <f aca="false">IF($B160="","",IF(OR($K160="Vencida",$K160="Hoy"),COUNTIF($K$7:$K160,"Vencida")+COUNTIF($K$7:$K160,"Hoy"),""))</f>
        <v/>
      </c>
      <c r="P160" s="30" t="str">
        <f aca="false">IF(OR($B160="",$H160="",$I160="Hecha",$I160="Cancelada"),"",TEXT($H160,"yyyymmdd")&amp;"-"&amp;COUNTIFS($H$7:$H160,$H160,$I$7:$I160,"&lt;&gt;Hecha",$I$7:$I160,"&lt;&gt;Cancelada"))</f>
        <v/>
      </c>
    </row>
    <row r="161" customFormat="false" ht="15" hidden="false" customHeight="false" outlineLevel="0" collapsed="false">
      <c r="A161" s="23" t="str">
        <f aca="false">IF($B161="","",ROW()-6)</f>
        <v/>
      </c>
      <c r="B161" s="27"/>
      <c r="C161" s="27"/>
      <c r="D161" s="27"/>
      <c r="E161" s="27"/>
      <c r="F161" s="27"/>
      <c r="G161" s="27"/>
      <c r="H161" s="28"/>
      <c r="I161" s="27"/>
      <c r="J161" s="23" t="str">
        <f aca="true">IF(OR($B161="",$H161=""),"",IF(OR($I161="Hecha",$I161="Cancelada"),"-",$H161-TODAY()))</f>
        <v/>
      </c>
      <c r="K161" s="29" t="str">
        <f aca="true">IF($B161="","",IF($I161="Hecha","Hecha",IF($I161="Cancelada","Cancelada",IF($I161="En espera","En espera",IF($H161="","Sin fecha",IF($H161&lt;TODAY(),"Vencida",IF($H161=TODAY(),"Hoy",IF($H161-TODAY()&lt;=7,"Esta semana","Más adelante"))))))))</f>
        <v/>
      </c>
      <c r="L161" s="27"/>
      <c r="M161" s="27"/>
      <c r="N161" s="28"/>
      <c r="O161" s="30" t="str">
        <f aca="false">IF($B161="","",IF(OR($K161="Vencida",$K161="Hoy"),COUNTIF($K$7:$K161,"Vencida")+COUNTIF($K$7:$K161,"Hoy"),""))</f>
        <v/>
      </c>
      <c r="P161" s="30" t="str">
        <f aca="false">IF(OR($B161="",$H161="",$I161="Hecha",$I161="Cancelada"),"",TEXT($H161,"yyyymmdd")&amp;"-"&amp;COUNTIFS($H$7:$H161,$H161,$I$7:$I161,"&lt;&gt;Hecha",$I$7:$I161,"&lt;&gt;Cancelada"))</f>
        <v/>
      </c>
    </row>
    <row r="162" customFormat="false" ht="15" hidden="false" customHeight="false" outlineLevel="0" collapsed="false">
      <c r="A162" s="25" t="str">
        <f aca="false">IF($B162="","",ROW()-6)</f>
        <v/>
      </c>
      <c r="B162" s="27"/>
      <c r="C162" s="27"/>
      <c r="D162" s="27"/>
      <c r="E162" s="27"/>
      <c r="F162" s="27"/>
      <c r="G162" s="27"/>
      <c r="H162" s="28"/>
      <c r="I162" s="27"/>
      <c r="J162" s="25" t="str">
        <f aca="true">IF(OR($B162="",$H162=""),"",IF(OR($I162="Hecha",$I162="Cancelada"),"-",$H162-TODAY()))</f>
        <v/>
      </c>
      <c r="K162" s="31" t="str">
        <f aca="true">IF($B162="","",IF($I162="Hecha","Hecha",IF($I162="Cancelada","Cancelada",IF($I162="En espera","En espera",IF($H162="","Sin fecha",IF($H162&lt;TODAY(),"Vencida",IF($H162=TODAY(),"Hoy",IF($H162-TODAY()&lt;=7,"Esta semana","Más adelante"))))))))</f>
        <v/>
      </c>
      <c r="L162" s="27"/>
      <c r="M162" s="27"/>
      <c r="N162" s="28"/>
      <c r="O162" s="30" t="str">
        <f aca="false">IF($B162="","",IF(OR($K162="Vencida",$K162="Hoy"),COUNTIF($K$7:$K162,"Vencida")+COUNTIF($K$7:$K162,"Hoy"),""))</f>
        <v/>
      </c>
      <c r="P162" s="30" t="str">
        <f aca="false">IF(OR($B162="",$H162="",$I162="Hecha",$I162="Cancelada"),"",TEXT($H162,"yyyymmdd")&amp;"-"&amp;COUNTIFS($H$7:$H162,$H162,$I$7:$I162,"&lt;&gt;Hecha",$I$7:$I162,"&lt;&gt;Cancelada"))</f>
        <v/>
      </c>
    </row>
    <row r="163" customFormat="false" ht="15" hidden="false" customHeight="false" outlineLevel="0" collapsed="false">
      <c r="A163" s="23" t="str">
        <f aca="false">IF($B163="","",ROW()-6)</f>
        <v/>
      </c>
      <c r="B163" s="27"/>
      <c r="C163" s="27"/>
      <c r="D163" s="27"/>
      <c r="E163" s="27"/>
      <c r="F163" s="27"/>
      <c r="G163" s="27"/>
      <c r="H163" s="28"/>
      <c r="I163" s="27"/>
      <c r="J163" s="23" t="str">
        <f aca="true">IF(OR($B163="",$H163=""),"",IF(OR($I163="Hecha",$I163="Cancelada"),"-",$H163-TODAY()))</f>
        <v/>
      </c>
      <c r="K163" s="29" t="str">
        <f aca="true">IF($B163="","",IF($I163="Hecha","Hecha",IF($I163="Cancelada","Cancelada",IF($I163="En espera","En espera",IF($H163="","Sin fecha",IF($H163&lt;TODAY(),"Vencida",IF($H163=TODAY(),"Hoy",IF($H163-TODAY()&lt;=7,"Esta semana","Más adelante"))))))))</f>
        <v/>
      </c>
      <c r="L163" s="27"/>
      <c r="M163" s="27"/>
      <c r="N163" s="28"/>
      <c r="O163" s="30" t="str">
        <f aca="false">IF($B163="","",IF(OR($K163="Vencida",$K163="Hoy"),COUNTIF($K$7:$K163,"Vencida")+COUNTIF($K$7:$K163,"Hoy"),""))</f>
        <v/>
      </c>
      <c r="P163" s="30" t="str">
        <f aca="false">IF(OR($B163="",$H163="",$I163="Hecha",$I163="Cancelada"),"",TEXT($H163,"yyyymmdd")&amp;"-"&amp;COUNTIFS($H$7:$H163,$H163,$I$7:$I163,"&lt;&gt;Hecha",$I$7:$I163,"&lt;&gt;Cancelada"))</f>
        <v/>
      </c>
    </row>
    <row r="164" customFormat="false" ht="15" hidden="false" customHeight="false" outlineLevel="0" collapsed="false">
      <c r="A164" s="25" t="str">
        <f aca="false">IF($B164="","",ROW()-6)</f>
        <v/>
      </c>
      <c r="B164" s="27"/>
      <c r="C164" s="27"/>
      <c r="D164" s="27"/>
      <c r="E164" s="27"/>
      <c r="F164" s="27"/>
      <c r="G164" s="27"/>
      <c r="H164" s="28"/>
      <c r="I164" s="27"/>
      <c r="J164" s="25" t="str">
        <f aca="true">IF(OR($B164="",$H164=""),"",IF(OR($I164="Hecha",$I164="Cancelada"),"-",$H164-TODAY()))</f>
        <v/>
      </c>
      <c r="K164" s="31" t="str">
        <f aca="true">IF($B164="","",IF($I164="Hecha","Hecha",IF($I164="Cancelada","Cancelada",IF($I164="En espera","En espera",IF($H164="","Sin fecha",IF($H164&lt;TODAY(),"Vencida",IF($H164=TODAY(),"Hoy",IF($H164-TODAY()&lt;=7,"Esta semana","Más adelante"))))))))</f>
        <v/>
      </c>
      <c r="L164" s="27"/>
      <c r="M164" s="27"/>
      <c r="N164" s="28"/>
      <c r="O164" s="30" t="str">
        <f aca="false">IF($B164="","",IF(OR($K164="Vencida",$K164="Hoy"),COUNTIF($K$7:$K164,"Vencida")+COUNTIF($K$7:$K164,"Hoy"),""))</f>
        <v/>
      </c>
      <c r="P164" s="30" t="str">
        <f aca="false">IF(OR($B164="",$H164="",$I164="Hecha",$I164="Cancelada"),"",TEXT($H164,"yyyymmdd")&amp;"-"&amp;COUNTIFS($H$7:$H164,$H164,$I$7:$I164,"&lt;&gt;Hecha",$I$7:$I164,"&lt;&gt;Cancelada"))</f>
        <v/>
      </c>
    </row>
    <row r="165" customFormat="false" ht="15" hidden="false" customHeight="false" outlineLevel="0" collapsed="false">
      <c r="A165" s="23" t="str">
        <f aca="false">IF($B165="","",ROW()-6)</f>
        <v/>
      </c>
      <c r="B165" s="27"/>
      <c r="C165" s="27"/>
      <c r="D165" s="27"/>
      <c r="E165" s="27"/>
      <c r="F165" s="27"/>
      <c r="G165" s="27"/>
      <c r="H165" s="28"/>
      <c r="I165" s="27"/>
      <c r="J165" s="23" t="str">
        <f aca="true">IF(OR($B165="",$H165=""),"",IF(OR($I165="Hecha",$I165="Cancelada"),"-",$H165-TODAY()))</f>
        <v/>
      </c>
      <c r="K165" s="29" t="str">
        <f aca="true">IF($B165="","",IF($I165="Hecha","Hecha",IF($I165="Cancelada","Cancelada",IF($I165="En espera","En espera",IF($H165="","Sin fecha",IF($H165&lt;TODAY(),"Vencida",IF($H165=TODAY(),"Hoy",IF($H165-TODAY()&lt;=7,"Esta semana","Más adelante"))))))))</f>
        <v/>
      </c>
      <c r="L165" s="27"/>
      <c r="M165" s="27"/>
      <c r="N165" s="28"/>
      <c r="O165" s="30" t="str">
        <f aca="false">IF($B165="","",IF(OR($K165="Vencida",$K165="Hoy"),COUNTIF($K$7:$K165,"Vencida")+COUNTIF($K$7:$K165,"Hoy"),""))</f>
        <v/>
      </c>
      <c r="P165" s="30" t="str">
        <f aca="false">IF(OR($B165="",$H165="",$I165="Hecha",$I165="Cancelada"),"",TEXT($H165,"yyyymmdd")&amp;"-"&amp;COUNTIFS($H$7:$H165,$H165,$I$7:$I165,"&lt;&gt;Hecha",$I$7:$I165,"&lt;&gt;Cancelada"))</f>
        <v/>
      </c>
    </row>
    <row r="166" customFormat="false" ht="15" hidden="false" customHeight="false" outlineLevel="0" collapsed="false">
      <c r="A166" s="25" t="str">
        <f aca="false">IF($B166="","",ROW()-6)</f>
        <v/>
      </c>
      <c r="B166" s="27"/>
      <c r="C166" s="27"/>
      <c r="D166" s="27"/>
      <c r="E166" s="27"/>
      <c r="F166" s="27"/>
      <c r="G166" s="27"/>
      <c r="H166" s="28"/>
      <c r="I166" s="27"/>
      <c r="J166" s="25" t="str">
        <f aca="true">IF(OR($B166="",$H166=""),"",IF(OR($I166="Hecha",$I166="Cancelada"),"-",$H166-TODAY()))</f>
        <v/>
      </c>
      <c r="K166" s="31" t="str">
        <f aca="true">IF($B166="","",IF($I166="Hecha","Hecha",IF($I166="Cancelada","Cancelada",IF($I166="En espera","En espera",IF($H166="","Sin fecha",IF($H166&lt;TODAY(),"Vencida",IF($H166=TODAY(),"Hoy",IF($H166-TODAY()&lt;=7,"Esta semana","Más adelante"))))))))</f>
        <v/>
      </c>
      <c r="L166" s="27"/>
      <c r="M166" s="27"/>
      <c r="N166" s="28"/>
      <c r="O166" s="30" t="str">
        <f aca="false">IF($B166="","",IF(OR($K166="Vencida",$K166="Hoy"),COUNTIF($K$7:$K166,"Vencida")+COUNTIF($K$7:$K166,"Hoy"),""))</f>
        <v/>
      </c>
      <c r="P166" s="30" t="str">
        <f aca="false">IF(OR($B166="",$H166="",$I166="Hecha",$I166="Cancelada"),"",TEXT($H166,"yyyymmdd")&amp;"-"&amp;COUNTIFS($H$7:$H166,$H166,$I$7:$I166,"&lt;&gt;Hecha",$I$7:$I166,"&lt;&gt;Cancelada"))</f>
        <v/>
      </c>
    </row>
    <row r="167" customFormat="false" ht="15" hidden="false" customHeight="false" outlineLevel="0" collapsed="false">
      <c r="A167" s="23" t="str">
        <f aca="false">IF($B167="","",ROW()-6)</f>
        <v/>
      </c>
      <c r="B167" s="27"/>
      <c r="C167" s="27"/>
      <c r="D167" s="27"/>
      <c r="E167" s="27"/>
      <c r="F167" s="27"/>
      <c r="G167" s="27"/>
      <c r="H167" s="28"/>
      <c r="I167" s="27"/>
      <c r="J167" s="23" t="str">
        <f aca="true">IF(OR($B167="",$H167=""),"",IF(OR($I167="Hecha",$I167="Cancelada"),"-",$H167-TODAY()))</f>
        <v/>
      </c>
      <c r="K167" s="29" t="str">
        <f aca="true">IF($B167="","",IF($I167="Hecha","Hecha",IF($I167="Cancelada","Cancelada",IF($I167="En espera","En espera",IF($H167="","Sin fecha",IF($H167&lt;TODAY(),"Vencida",IF($H167=TODAY(),"Hoy",IF($H167-TODAY()&lt;=7,"Esta semana","Más adelante"))))))))</f>
        <v/>
      </c>
      <c r="L167" s="27"/>
      <c r="M167" s="27"/>
      <c r="N167" s="28"/>
      <c r="O167" s="30" t="str">
        <f aca="false">IF($B167="","",IF(OR($K167="Vencida",$K167="Hoy"),COUNTIF($K$7:$K167,"Vencida")+COUNTIF($K$7:$K167,"Hoy"),""))</f>
        <v/>
      </c>
      <c r="P167" s="30" t="str">
        <f aca="false">IF(OR($B167="",$H167="",$I167="Hecha",$I167="Cancelada"),"",TEXT($H167,"yyyymmdd")&amp;"-"&amp;COUNTIFS($H$7:$H167,$H167,$I$7:$I167,"&lt;&gt;Hecha",$I$7:$I167,"&lt;&gt;Cancelada"))</f>
        <v/>
      </c>
    </row>
    <row r="168" customFormat="false" ht="15" hidden="false" customHeight="false" outlineLevel="0" collapsed="false">
      <c r="A168" s="25" t="str">
        <f aca="false">IF($B168="","",ROW()-6)</f>
        <v/>
      </c>
      <c r="B168" s="27"/>
      <c r="C168" s="27"/>
      <c r="D168" s="27"/>
      <c r="E168" s="27"/>
      <c r="F168" s="27"/>
      <c r="G168" s="27"/>
      <c r="H168" s="28"/>
      <c r="I168" s="27"/>
      <c r="J168" s="25" t="str">
        <f aca="true">IF(OR($B168="",$H168=""),"",IF(OR($I168="Hecha",$I168="Cancelada"),"-",$H168-TODAY()))</f>
        <v/>
      </c>
      <c r="K168" s="31" t="str">
        <f aca="true">IF($B168="","",IF($I168="Hecha","Hecha",IF($I168="Cancelada","Cancelada",IF($I168="En espera","En espera",IF($H168="","Sin fecha",IF($H168&lt;TODAY(),"Vencida",IF($H168=TODAY(),"Hoy",IF($H168-TODAY()&lt;=7,"Esta semana","Más adelante"))))))))</f>
        <v/>
      </c>
      <c r="L168" s="27"/>
      <c r="M168" s="27"/>
      <c r="N168" s="28"/>
      <c r="O168" s="30" t="str">
        <f aca="false">IF($B168="","",IF(OR($K168="Vencida",$K168="Hoy"),COUNTIF($K$7:$K168,"Vencida")+COUNTIF($K$7:$K168,"Hoy"),""))</f>
        <v/>
      </c>
      <c r="P168" s="30" t="str">
        <f aca="false">IF(OR($B168="",$H168="",$I168="Hecha",$I168="Cancelada"),"",TEXT($H168,"yyyymmdd")&amp;"-"&amp;COUNTIFS($H$7:$H168,$H168,$I$7:$I168,"&lt;&gt;Hecha",$I$7:$I168,"&lt;&gt;Cancelada"))</f>
        <v/>
      </c>
    </row>
    <row r="169" customFormat="false" ht="15" hidden="false" customHeight="false" outlineLevel="0" collapsed="false">
      <c r="A169" s="23" t="str">
        <f aca="false">IF($B169="","",ROW()-6)</f>
        <v/>
      </c>
      <c r="B169" s="27"/>
      <c r="C169" s="27"/>
      <c r="D169" s="27"/>
      <c r="E169" s="27"/>
      <c r="F169" s="27"/>
      <c r="G169" s="27"/>
      <c r="H169" s="28"/>
      <c r="I169" s="27"/>
      <c r="J169" s="23" t="str">
        <f aca="true">IF(OR($B169="",$H169=""),"",IF(OR($I169="Hecha",$I169="Cancelada"),"-",$H169-TODAY()))</f>
        <v/>
      </c>
      <c r="K169" s="29" t="str">
        <f aca="true">IF($B169="","",IF($I169="Hecha","Hecha",IF($I169="Cancelada","Cancelada",IF($I169="En espera","En espera",IF($H169="","Sin fecha",IF($H169&lt;TODAY(),"Vencida",IF($H169=TODAY(),"Hoy",IF($H169-TODAY()&lt;=7,"Esta semana","Más adelante"))))))))</f>
        <v/>
      </c>
      <c r="L169" s="27"/>
      <c r="M169" s="27"/>
      <c r="N169" s="28"/>
      <c r="O169" s="30" t="str">
        <f aca="false">IF($B169="","",IF(OR($K169="Vencida",$K169="Hoy"),COUNTIF($K$7:$K169,"Vencida")+COUNTIF($K$7:$K169,"Hoy"),""))</f>
        <v/>
      </c>
      <c r="P169" s="30" t="str">
        <f aca="false">IF(OR($B169="",$H169="",$I169="Hecha",$I169="Cancelada"),"",TEXT($H169,"yyyymmdd")&amp;"-"&amp;COUNTIFS($H$7:$H169,$H169,$I$7:$I169,"&lt;&gt;Hecha",$I$7:$I169,"&lt;&gt;Cancelada"))</f>
        <v/>
      </c>
    </row>
    <row r="170" customFormat="false" ht="15" hidden="false" customHeight="false" outlineLevel="0" collapsed="false">
      <c r="A170" s="25" t="str">
        <f aca="false">IF($B170="","",ROW()-6)</f>
        <v/>
      </c>
      <c r="B170" s="27"/>
      <c r="C170" s="27"/>
      <c r="D170" s="27"/>
      <c r="E170" s="27"/>
      <c r="F170" s="27"/>
      <c r="G170" s="27"/>
      <c r="H170" s="28"/>
      <c r="I170" s="27"/>
      <c r="J170" s="25" t="str">
        <f aca="true">IF(OR($B170="",$H170=""),"",IF(OR($I170="Hecha",$I170="Cancelada"),"-",$H170-TODAY()))</f>
        <v/>
      </c>
      <c r="K170" s="31" t="str">
        <f aca="true">IF($B170="","",IF($I170="Hecha","Hecha",IF($I170="Cancelada","Cancelada",IF($I170="En espera","En espera",IF($H170="","Sin fecha",IF($H170&lt;TODAY(),"Vencida",IF($H170=TODAY(),"Hoy",IF($H170-TODAY()&lt;=7,"Esta semana","Más adelante"))))))))</f>
        <v/>
      </c>
      <c r="L170" s="27"/>
      <c r="M170" s="27"/>
      <c r="N170" s="28"/>
      <c r="O170" s="30" t="str">
        <f aca="false">IF($B170="","",IF(OR($K170="Vencida",$K170="Hoy"),COUNTIF($K$7:$K170,"Vencida")+COUNTIF($K$7:$K170,"Hoy"),""))</f>
        <v/>
      </c>
      <c r="P170" s="30" t="str">
        <f aca="false">IF(OR($B170="",$H170="",$I170="Hecha",$I170="Cancelada"),"",TEXT($H170,"yyyymmdd")&amp;"-"&amp;COUNTIFS($H$7:$H170,$H170,$I$7:$I170,"&lt;&gt;Hecha",$I$7:$I170,"&lt;&gt;Cancelada"))</f>
        <v/>
      </c>
    </row>
    <row r="171" customFormat="false" ht="15" hidden="false" customHeight="false" outlineLevel="0" collapsed="false">
      <c r="A171" s="23" t="str">
        <f aca="false">IF($B171="","",ROW()-6)</f>
        <v/>
      </c>
      <c r="B171" s="27"/>
      <c r="C171" s="27"/>
      <c r="D171" s="27"/>
      <c r="E171" s="27"/>
      <c r="F171" s="27"/>
      <c r="G171" s="27"/>
      <c r="H171" s="28"/>
      <c r="I171" s="27"/>
      <c r="J171" s="23" t="str">
        <f aca="true">IF(OR($B171="",$H171=""),"",IF(OR($I171="Hecha",$I171="Cancelada"),"-",$H171-TODAY()))</f>
        <v/>
      </c>
      <c r="K171" s="29" t="str">
        <f aca="true">IF($B171="","",IF($I171="Hecha","Hecha",IF($I171="Cancelada","Cancelada",IF($I171="En espera","En espera",IF($H171="","Sin fecha",IF($H171&lt;TODAY(),"Vencida",IF($H171=TODAY(),"Hoy",IF($H171-TODAY()&lt;=7,"Esta semana","Más adelante"))))))))</f>
        <v/>
      </c>
      <c r="L171" s="27"/>
      <c r="M171" s="27"/>
      <c r="N171" s="28"/>
      <c r="O171" s="30" t="str">
        <f aca="false">IF($B171="","",IF(OR($K171="Vencida",$K171="Hoy"),COUNTIF($K$7:$K171,"Vencida")+COUNTIF($K$7:$K171,"Hoy"),""))</f>
        <v/>
      </c>
      <c r="P171" s="30" t="str">
        <f aca="false">IF(OR($B171="",$H171="",$I171="Hecha",$I171="Cancelada"),"",TEXT($H171,"yyyymmdd")&amp;"-"&amp;COUNTIFS($H$7:$H171,$H171,$I$7:$I171,"&lt;&gt;Hecha",$I$7:$I171,"&lt;&gt;Cancelada"))</f>
        <v/>
      </c>
    </row>
    <row r="172" customFormat="false" ht="15" hidden="false" customHeight="false" outlineLevel="0" collapsed="false">
      <c r="A172" s="25" t="str">
        <f aca="false">IF($B172="","",ROW()-6)</f>
        <v/>
      </c>
      <c r="B172" s="27"/>
      <c r="C172" s="27"/>
      <c r="D172" s="27"/>
      <c r="E172" s="27"/>
      <c r="F172" s="27"/>
      <c r="G172" s="27"/>
      <c r="H172" s="28"/>
      <c r="I172" s="27"/>
      <c r="J172" s="25" t="str">
        <f aca="true">IF(OR($B172="",$H172=""),"",IF(OR($I172="Hecha",$I172="Cancelada"),"-",$H172-TODAY()))</f>
        <v/>
      </c>
      <c r="K172" s="31" t="str">
        <f aca="true">IF($B172="","",IF($I172="Hecha","Hecha",IF($I172="Cancelada","Cancelada",IF($I172="En espera","En espera",IF($H172="","Sin fecha",IF($H172&lt;TODAY(),"Vencida",IF($H172=TODAY(),"Hoy",IF($H172-TODAY()&lt;=7,"Esta semana","Más adelante"))))))))</f>
        <v/>
      </c>
      <c r="L172" s="27"/>
      <c r="M172" s="27"/>
      <c r="N172" s="28"/>
      <c r="O172" s="30" t="str">
        <f aca="false">IF($B172="","",IF(OR($K172="Vencida",$K172="Hoy"),COUNTIF($K$7:$K172,"Vencida")+COUNTIF($K$7:$K172,"Hoy"),""))</f>
        <v/>
      </c>
      <c r="P172" s="30" t="str">
        <f aca="false">IF(OR($B172="",$H172="",$I172="Hecha",$I172="Cancelada"),"",TEXT($H172,"yyyymmdd")&amp;"-"&amp;COUNTIFS($H$7:$H172,$H172,$I$7:$I172,"&lt;&gt;Hecha",$I$7:$I172,"&lt;&gt;Cancelada"))</f>
        <v/>
      </c>
    </row>
    <row r="173" customFormat="false" ht="15" hidden="false" customHeight="false" outlineLevel="0" collapsed="false">
      <c r="A173" s="23" t="str">
        <f aca="false">IF($B173="","",ROW()-6)</f>
        <v/>
      </c>
      <c r="B173" s="27"/>
      <c r="C173" s="27"/>
      <c r="D173" s="27"/>
      <c r="E173" s="27"/>
      <c r="F173" s="27"/>
      <c r="G173" s="27"/>
      <c r="H173" s="28"/>
      <c r="I173" s="27"/>
      <c r="J173" s="23" t="str">
        <f aca="true">IF(OR($B173="",$H173=""),"",IF(OR($I173="Hecha",$I173="Cancelada"),"-",$H173-TODAY()))</f>
        <v/>
      </c>
      <c r="K173" s="29" t="str">
        <f aca="true">IF($B173="","",IF($I173="Hecha","Hecha",IF($I173="Cancelada","Cancelada",IF($I173="En espera","En espera",IF($H173="","Sin fecha",IF($H173&lt;TODAY(),"Vencida",IF($H173=TODAY(),"Hoy",IF($H173-TODAY()&lt;=7,"Esta semana","Más adelante"))))))))</f>
        <v/>
      </c>
      <c r="L173" s="27"/>
      <c r="M173" s="27"/>
      <c r="N173" s="28"/>
      <c r="O173" s="30" t="str">
        <f aca="false">IF($B173="","",IF(OR($K173="Vencida",$K173="Hoy"),COUNTIF($K$7:$K173,"Vencida")+COUNTIF($K$7:$K173,"Hoy"),""))</f>
        <v/>
      </c>
      <c r="P173" s="30" t="str">
        <f aca="false">IF(OR($B173="",$H173="",$I173="Hecha",$I173="Cancelada"),"",TEXT($H173,"yyyymmdd")&amp;"-"&amp;COUNTIFS($H$7:$H173,$H173,$I$7:$I173,"&lt;&gt;Hecha",$I$7:$I173,"&lt;&gt;Cancelada"))</f>
        <v/>
      </c>
    </row>
    <row r="174" customFormat="false" ht="15" hidden="false" customHeight="false" outlineLevel="0" collapsed="false">
      <c r="A174" s="25" t="str">
        <f aca="false">IF($B174="","",ROW()-6)</f>
        <v/>
      </c>
      <c r="B174" s="27"/>
      <c r="C174" s="27"/>
      <c r="D174" s="27"/>
      <c r="E174" s="27"/>
      <c r="F174" s="27"/>
      <c r="G174" s="27"/>
      <c r="H174" s="28"/>
      <c r="I174" s="27"/>
      <c r="J174" s="25" t="str">
        <f aca="true">IF(OR($B174="",$H174=""),"",IF(OR($I174="Hecha",$I174="Cancelada"),"-",$H174-TODAY()))</f>
        <v/>
      </c>
      <c r="K174" s="31" t="str">
        <f aca="true">IF($B174="","",IF($I174="Hecha","Hecha",IF($I174="Cancelada","Cancelada",IF($I174="En espera","En espera",IF($H174="","Sin fecha",IF($H174&lt;TODAY(),"Vencida",IF($H174=TODAY(),"Hoy",IF($H174-TODAY()&lt;=7,"Esta semana","Más adelante"))))))))</f>
        <v/>
      </c>
      <c r="L174" s="27"/>
      <c r="M174" s="27"/>
      <c r="N174" s="28"/>
      <c r="O174" s="30" t="str">
        <f aca="false">IF($B174="","",IF(OR($K174="Vencida",$K174="Hoy"),COUNTIF($K$7:$K174,"Vencida")+COUNTIF($K$7:$K174,"Hoy"),""))</f>
        <v/>
      </c>
      <c r="P174" s="30" t="str">
        <f aca="false">IF(OR($B174="",$H174="",$I174="Hecha",$I174="Cancelada"),"",TEXT($H174,"yyyymmdd")&amp;"-"&amp;COUNTIFS($H$7:$H174,$H174,$I$7:$I174,"&lt;&gt;Hecha",$I$7:$I174,"&lt;&gt;Cancelada"))</f>
        <v/>
      </c>
    </row>
    <row r="175" customFormat="false" ht="15" hidden="false" customHeight="false" outlineLevel="0" collapsed="false">
      <c r="A175" s="23" t="str">
        <f aca="false">IF($B175="","",ROW()-6)</f>
        <v/>
      </c>
      <c r="B175" s="27"/>
      <c r="C175" s="27"/>
      <c r="D175" s="27"/>
      <c r="E175" s="27"/>
      <c r="F175" s="27"/>
      <c r="G175" s="27"/>
      <c r="H175" s="28"/>
      <c r="I175" s="27"/>
      <c r="J175" s="23" t="str">
        <f aca="true">IF(OR($B175="",$H175=""),"",IF(OR($I175="Hecha",$I175="Cancelada"),"-",$H175-TODAY()))</f>
        <v/>
      </c>
      <c r="K175" s="29" t="str">
        <f aca="true">IF($B175="","",IF($I175="Hecha","Hecha",IF($I175="Cancelada","Cancelada",IF($I175="En espera","En espera",IF($H175="","Sin fecha",IF($H175&lt;TODAY(),"Vencida",IF($H175=TODAY(),"Hoy",IF($H175-TODAY()&lt;=7,"Esta semana","Más adelante"))))))))</f>
        <v/>
      </c>
      <c r="L175" s="27"/>
      <c r="M175" s="27"/>
      <c r="N175" s="28"/>
      <c r="O175" s="30" t="str">
        <f aca="false">IF($B175="","",IF(OR($K175="Vencida",$K175="Hoy"),COUNTIF($K$7:$K175,"Vencida")+COUNTIF($K$7:$K175,"Hoy"),""))</f>
        <v/>
      </c>
      <c r="P175" s="30" t="str">
        <f aca="false">IF(OR($B175="",$H175="",$I175="Hecha",$I175="Cancelada"),"",TEXT($H175,"yyyymmdd")&amp;"-"&amp;COUNTIFS($H$7:$H175,$H175,$I$7:$I175,"&lt;&gt;Hecha",$I$7:$I175,"&lt;&gt;Cancelada"))</f>
        <v/>
      </c>
    </row>
    <row r="176" customFormat="false" ht="15" hidden="false" customHeight="false" outlineLevel="0" collapsed="false">
      <c r="A176" s="25" t="str">
        <f aca="false">IF($B176="","",ROW()-6)</f>
        <v/>
      </c>
      <c r="B176" s="27"/>
      <c r="C176" s="27"/>
      <c r="D176" s="27"/>
      <c r="E176" s="27"/>
      <c r="F176" s="27"/>
      <c r="G176" s="27"/>
      <c r="H176" s="28"/>
      <c r="I176" s="27"/>
      <c r="J176" s="25" t="str">
        <f aca="true">IF(OR($B176="",$H176=""),"",IF(OR($I176="Hecha",$I176="Cancelada"),"-",$H176-TODAY()))</f>
        <v/>
      </c>
      <c r="K176" s="31" t="str">
        <f aca="true">IF($B176="","",IF($I176="Hecha","Hecha",IF($I176="Cancelada","Cancelada",IF($I176="En espera","En espera",IF($H176="","Sin fecha",IF($H176&lt;TODAY(),"Vencida",IF($H176=TODAY(),"Hoy",IF($H176-TODAY()&lt;=7,"Esta semana","Más adelante"))))))))</f>
        <v/>
      </c>
      <c r="L176" s="27"/>
      <c r="M176" s="27"/>
      <c r="N176" s="28"/>
      <c r="O176" s="30" t="str">
        <f aca="false">IF($B176="","",IF(OR($K176="Vencida",$K176="Hoy"),COUNTIF($K$7:$K176,"Vencida")+COUNTIF($K$7:$K176,"Hoy"),""))</f>
        <v/>
      </c>
      <c r="P176" s="30" t="str">
        <f aca="false">IF(OR($B176="",$H176="",$I176="Hecha",$I176="Cancelada"),"",TEXT($H176,"yyyymmdd")&amp;"-"&amp;COUNTIFS($H$7:$H176,$H176,$I$7:$I176,"&lt;&gt;Hecha",$I$7:$I176,"&lt;&gt;Cancelada"))</f>
        <v/>
      </c>
    </row>
    <row r="177" customFormat="false" ht="15" hidden="false" customHeight="false" outlineLevel="0" collapsed="false">
      <c r="A177" s="23" t="str">
        <f aca="false">IF($B177="","",ROW()-6)</f>
        <v/>
      </c>
      <c r="B177" s="27"/>
      <c r="C177" s="27"/>
      <c r="D177" s="27"/>
      <c r="E177" s="27"/>
      <c r="F177" s="27"/>
      <c r="G177" s="27"/>
      <c r="H177" s="28"/>
      <c r="I177" s="27"/>
      <c r="J177" s="23" t="str">
        <f aca="true">IF(OR($B177="",$H177=""),"",IF(OR($I177="Hecha",$I177="Cancelada"),"-",$H177-TODAY()))</f>
        <v/>
      </c>
      <c r="K177" s="29" t="str">
        <f aca="true">IF($B177="","",IF($I177="Hecha","Hecha",IF($I177="Cancelada","Cancelada",IF($I177="En espera","En espera",IF($H177="","Sin fecha",IF($H177&lt;TODAY(),"Vencida",IF($H177=TODAY(),"Hoy",IF($H177-TODAY()&lt;=7,"Esta semana","Más adelante"))))))))</f>
        <v/>
      </c>
      <c r="L177" s="27"/>
      <c r="M177" s="27"/>
      <c r="N177" s="28"/>
      <c r="O177" s="30" t="str">
        <f aca="false">IF($B177="","",IF(OR($K177="Vencida",$K177="Hoy"),COUNTIF($K$7:$K177,"Vencida")+COUNTIF($K$7:$K177,"Hoy"),""))</f>
        <v/>
      </c>
      <c r="P177" s="30" t="str">
        <f aca="false">IF(OR($B177="",$H177="",$I177="Hecha",$I177="Cancelada"),"",TEXT($H177,"yyyymmdd")&amp;"-"&amp;COUNTIFS($H$7:$H177,$H177,$I$7:$I177,"&lt;&gt;Hecha",$I$7:$I177,"&lt;&gt;Cancelada"))</f>
        <v/>
      </c>
    </row>
    <row r="178" customFormat="false" ht="15" hidden="false" customHeight="false" outlineLevel="0" collapsed="false">
      <c r="A178" s="25" t="str">
        <f aca="false">IF($B178="","",ROW()-6)</f>
        <v/>
      </c>
      <c r="B178" s="27"/>
      <c r="C178" s="27"/>
      <c r="D178" s="27"/>
      <c r="E178" s="27"/>
      <c r="F178" s="27"/>
      <c r="G178" s="27"/>
      <c r="H178" s="28"/>
      <c r="I178" s="27"/>
      <c r="J178" s="25" t="str">
        <f aca="true">IF(OR($B178="",$H178=""),"",IF(OR($I178="Hecha",$I178="Cancelada"),"-",$H178-TODAY()))</f>
        <v/>
      </c>
      <c r="K178" s="31" t="str">
        <f aca="true">IF($B178="","",IF($I178="Hecha","Hecha",IF($I178="Cancelada","Cancelada",IF($I178="En espera","En espera",IF($H178="","Sin fecha",IF($H178&lt;TODAY(),"Vencida",IF($H178=TODAY(),"Hoy",IF($H178-TODAY()&lt;=7,"Esta semana","Más adelante"))))))))</f>
        <v/>
      </c>
      <c r="L178" s="27"/>
      <c r="M178" s="27"/>
      <c r="N178" s="28"/>
      <c r="O178" s="30" t="str">
        <f aca="false">IF($B178="","",IF(OR($K178="Vencida",$K178="Hoy"),COUNTIF($K$7:$K178,"Vencida")+COUNTIF($K$7:$K178,"Hoy"),""))</f>
        <v/>
      </c>
      <c r="P178" s="30" t="str">
        <f aca="false">IF(OR($B178="",$H178="",$I178="Hecha",$I178="Cancelada"),"",TEXT($H178,"yyyymmdd")&amp;"-"&amp;COUNTIFS($H$7:$H178,$H178,$I$7:$I178,"&lt;&gt;Hecha",$I$7:$I178,"&lt;&gt;Cancelada"))</f>
        <v/>
      </c>
    </row>
    <row r="179" customFormat="false" ht="15" hidden="false" customHeight="false" outlineLevel="0" collapsed="false">
      <c r="A179" s="23" t="str">
        <f aca="false">IF($B179="","",ROW()-6)</f>
        <v/>
      </c>
      <c r="B179" s="27"/>
      <c r="C179" s="27"/>
      <c r="D179" s="27"/>
      <c r="E179" s="27"/>
      <c r="F179" s="27"/>
      <c r="G179" s="27"/>
      <c r="H179" s="28"/>
      <c r="I179" s="27"/>
      <c r="J179" s="23" t="str">
        <f aca="true">IF(OR($B179="",$H179=""),"",IF(OR($I179="Hecha",$I179="Cancelada"),"-",$H179-TODAY()))</f>
        <v/>
      </c>
      <c r="K179" s="29" t="str">
        <f aca="true">IF($B179="","",IF($I179="Hecha","Hecha",IF($I179="Cancelada","Cancelada",IF($I179="En espera","En espera",IF($H179="","Sin fecha",IF($H179&lt;TODAY(),"Vencida",IF($H179=TODAY(),"Hoy",IF($H179-TODAY()&lt;=7,"Esta semana","Más adelante"))))))))</f>
        <v/>
      </c>
      <c r="L179" s="27"/>
      <c r="M179" s="27"/>
      <c r="N179" s="28"/>
      <c r="O179" s="30" t="str">
        <f aca="false">IF($B179="","",IF(OR($K179="Vencida",$K179="Hoy"),COUNTIF($K$7:$K179,"Vencida")+COUNTIF($K$7:$K179,"Hoy"),""))</f>
        <v/>
      </c>
      <c r="P179" s="30" t="str">
        <f aca="false">IF(OR($B179="",$H179="",$I179="Hecha",$I179="Cancelada"),"",TEXT($H179,"yyyymmdd")&amp;"-"&amp;COUNTIFS($H$7:$H179,$H179,$I$7:$I179,"&lt;&gt;Hecha",$I$7:$I179,"&lt;&gt;Cancelada"))</f>
        <v/>
      </c>
    </row>
    <row r="180" customFormat="false" ht="15" hidden="false" customHeight="false" outlineLevel="0" collapsed="false">
      <c r="A180" s="25" t="str">
        <f aca="false">IF($B180="","",ROW()-6)</f>
        <v/>
      </c>
      <c r="B180" s="27"/>
      <c r="C180" s="27"/>
      <c r="D180" s="27"/>
      <c r="E180" s="27"/>
      <c r="F180" s="27"/>
      <c r="G180" s="27"/>
      <c r="H180" s="28"/>
      <c r="I180" s="27"/>
      <c r="J180" s="25" t="str">
        <f aca="true">IF(OR($B180="",$H180=""),"",IF(OR($I180="Hecha",$I180="Cancelada"),"-",$H180-TODAY()))</f>
        <v/>
      </c>
      <c r="K180" s="31" t="str">
        <f aca="true">IF($B180="","",IF($I180="Hecha","Hecha",IF($I180="Cancelada","Cancelada",IF($I180="En espera","En espera",IF($H180="","Sin fecha",IF($H180&lt;TODAY(),"Vencida",IF($H180=TODAY(),"Hoy",IF($H180-TODAY()&lt;=7,"Esta semana","Más adelante"))))))))</f>
        <v/>
      </c>
      <c r="L180" s="27"/>
      <c r="M180" s="27"/>
      <c r="N180" s="28"/>
      <c r="O180" s="30" t="str">
        <f aca="false">IF($B180="","",IF(OR($K180="Vencida",$K180="Hoy"),COUNTIF($K$7:$K180,"Vencida")+COUNTIF($K$7:$K180,"Hoy"),""))</f>
        <v/>
      </c>
      <c r="P180" s="30" t="str">
        <f aca="false">IF(OR($B180="",$H180="",$I180="Hecha",$I180="Cancelada"),"",TEXT($H180,"yyyymmdd")&amp;"-"&amp;COUNTIFS($H$7:$H180,$H180,$I$7:$I180,"&lt;&gt;Hecha",$I$7:$I180,"&lt;&gt;Cancelada"))</f>
        <v/>
      </c>
    </row>
    <row r="181" customFormat="false" ht="15" hidden="false" customHeight="false" outlineLevel="0" collapsed="false">
      <c r="A181" s="23" t="str">
        <f aca="false">IF($B181="","",ROW()-6)</f>
        <v/>
      </c>
      <c r="B181" s="27"/>
      <c r="C181" s="27"/>
      <c r="D181" s="27"/>
      <c r="E181" s="27"/>
      <c r="F181" s="27"/>
      <c r="G181" s="27"/>
      <c r="H181" s="28"/>
      <c r="I181" s="27"/>
      <c r="J181" s="23" t="str">
        <f aca="true">IF(OR($B181="",$H181=""),"",IF(OR($I181="Hecha",$I181="Cancelada"),"-",$H181-TODAY()))</f>
        <v/>
      </c>
      <c r="K181" s="29" t="str">
        <f aca="true">IF($B181="","",IF($I181="Hecha","Hecha",IF($I181="Cancelada","Cancelada",IF($I181="En espera","En espera",IF($H181="","Sin fecha",IF($H181&lt;TODAY(),"Vencida",IF($H181=TODAY(),"Hoy",IF($H181-TODAY()&lt;=7,"Esta semana","Más adelante"))))))))</f>
        <v/>
      </c>
      <c r="L181" s="27"/>
      <c r="M181" s="27"/>
      <c r="N181" s="28"/>
      <c r="O181" s="30" t="str">
        <f aca="false">IF($B181="","",IF(OR($K181="Vencida",$K181="Hoy"),COUNTIF($K$7:$K181,"Vencida")+COUNTIF($K$7:$K181,"Hoy"),""))</f>
        <v/>
      </c>
      <c r="P181" s="30" t="str">
        <f aca="false">IF(OR($B181="",$H181="",$I181="Hecha",$I181="Cancelada"),"",TEXT($H181,"yyyymmdd")&amp;"-"&amp;COUNTIFS($H$7:$H181,$H181,$I$7:$I181,"&lt;&gt;Hecha",$I$7:$I181,"&lt;&gt;Cancelada"))</f>
        <v/>
      </c>
    </row>
    <row r="182" customFormat="false" ht="15" hidden="false" customHeight="false" outlineLevel="0" collapsed="false">
      <c r="A182" s="25" t="str">
        <f aca="false">IF($B182="","",ROW()-6)</f>
        <v/>
      </c>
      <c r="B182" s="27"/>
      <c r="C182" s="27"/>
      <c r="D182" s="27"/>
      <c r="E182" s="27"/>
      <c r="F182" s="27"/>
      <c r="G182" s="27"/>
      <c r="H182" s="28"/>
      <c r="I182" s="27"/>
      <c r="J182" s="25" t="str">
        <f aca="true">IF(OR($B182="",$H182=""),"",IF(OR($I182="Hecha",$I182="Cancelada"),"-",$H182-TODAY()))</f>
        <v/>
      </c>
      <c r="K182" s="31" t="str">
        <f aca="true">IF($B182="","",IF($I182="Hecha","Hecha",IF($I182="Cancelada","Cancelada",IF($I182="En espera","En espera",IF($H182="","Sin fecha",IF($H182&lt;TODAY(),"Vencida",IF($H182=TODAY(),"Hoy",IF($H182-TODAY()&lt;=7,"Esta semana","Más adelante"))))))))</f>
        <v/>
      </c>
      <c r="L182" s="27"/>
      <c r="M182" s="27"/>
      <c r="N182" s="28"/>
      <c r="O182" s="30" t="str">
        <f aca="false">IF($B182="","",IF(OR($K182="Vencida",$K182="Hoy"),COUNTIF($K$7:$K182,"Vencida")+COUNTIF($K$7:$K182,"Hoy"),""))</f>
        <v/>
      </c>
      <c r="P182" s="30" t="str">
        <f aca="false">IF(OR($B182="",$H182="",$I182="Hecha",$I182="Cancelada"),"",TEXT($H182,"yyyymmdd")&amp;"-"&amp;COUNTIFS($H$7:$H182,$H182,$I$7:$I182,"&lt;&gt;Hecha",$I$7:$I182,"&lt;&gt;Cancelada"))</f>
        <v/>
      </c>
    </row>
    <row r="183" customFormat="false" ht="15" hidden="false" customHeight="false" outlineLevel="0" collapsed="false">
      <c r="A183" s="23" t="str">
        <f aca="false">IF($B183="","",ROW()-6)</f>
        <v/>
      </c>
      <c r="B183" s="27"/>
      <c r="C183" s="27"/>
      <c r="D183" s="27"/>
      <c r="E183" s="27"/>
      <c r="F183" s="27"/>
      <c r="G183" s="27"/>
      <c r="H183" s="28"/>
      <c r="I183" s="27"/>
      <c r="J183" s="23" t="str">
        <f aca="true">IF(OR($B183="",$H183=""),"",IF(OR($I183="Hecha",$I183="Cancelada"),"-",$H183-TODAY()))</f>
        <v/>
      </c>
      <c r="K183" s="29" t="str">
        <f aca="true">IF($B183="","",IF($I183="Hecha","Hecha",IF($I183="Cancelada","Cancelada",IF($I183="En espera","En espera",IF($H183="","Sin fecha",IF($H183&lt;TODAY(),"Vencida",IF($H183=TODAY(),"Hoy",IF($H183-TODAY()&lt;=7,"Esta semana","Más adelante"))))))))</f>
        <v/>
      </c>
      <c r="L183" s="27"/>
      <c r="M183" s="27"/>
      <c r="N183" s="28"/>
      <c r="O183" s="30" t="str">
        <f aca="false">IF($B183="","",IF(OR($K183="Vencida",$K183="Hoy"),COUNTIF($K$7:$K183,"Vencida")+COUNTIF($K$7:$K183,"Hoy"),""))</f>
        <v/>
      </c>
      <c r="P183" s="30" t="str">
        <f aca="false">IF(OR($B183="",$H183="",$I183="Hecha",$I183="Cancelada"),"",TEXT($H183,"yyyymmdd")&amp;"-"&amp;COUNTIFS($H$7:$H183,$H183,$I$7:$I183,"&lt;&gt;Hecha",$I$7:$I183,"&lt;&gt;Cancelada"))</f>
        <v/>
      </c>
    </row>
    <row r="184" customFormat="false" ht="15" hidden="false" customHeight="false" outlineLevel="0" collapsed="false">
      <c r="A184" s="25" t="str">
        <f aca="false">IF($B184="","",ROW()-6)</f>
        <v/>
      </c>
      <c r="B184" s="27"/>
      <c r="C184" s="27"/>
      <c r="D184" s="27"/>
      <c r="E184" s="27"/>
      <c r="F184" s="27"/>
      <c r="G184" s="27"/>
      <c r="H184" s="28"/>
      <c r="I184" s="27"/>
      <c r="J184" s="25" t="str">
        <f aca="true">IF(OR($B184="",$H184=""),"",IF(OR($I184="Hecha",$I184="Cancelada"),"-",$H184-TODAY()))</f>
        <v/>
      </c>
      <c r="K184" s="31" t="str">
        <f aca="true">IF($B184="","",IF($I184="Hecha","Hecha",IF($I184="Cancelada","Cancelada",IF($I184="En espera","En espera",IF($H184="","Sin fecha",IF($H184&lt;TODAY(),"Vencida",IF($H184=TODAY(),"Hoy",IF($H184-TODAY()&lt;=7,"Esta semana","Más adelante"))))))))</f>
        <v/>
      </c>
      <c r="L184" s="27"/>
      <c r="M184" s="27"/>
      <c r="N184" s="28"/>
      <c r="O184" s="30" t="str">
        <f aca="false">IF($B184="","",IF(OR($K184="Vencida",$K184="Hoy"),COUNTIF($K$7:$K184,"Vencida")+COUNTIF($K$7:$K184,"Hoy"),""))</f>
        <v/>
      </c>
      <c r="P184" s="30" t="str">
        <f aca="false">IF(OR($B184="",$H184="",$I184="Hecha",$I184="Cancelada"),"",TEXT($H184,"yyyymmdd")&amp;"-"&amp;COUNTIFS($H$7:$H184,$H184,$I$7:$I184,"&lt;&gt;Hecha",$I$7:$I184,"&lt;&gt;Cancelada"))</f>
        <v/>
      </c>
    </row>
    <row r="185" customFormat="false" ht="15" hidden="false" customHeight="false" outlineLevel="0" collapsed="false">
      <c r="A185" s="23" t="str">
        <f aca="false">IF($B185="","",ROW()-6)</f>
        <v/>
      </c>
      <c r="B185" s="27"/>
      <c r="C185" s="27"/>
      <c r="D185" s="27"/>
      <c r="E185" s="27"/>
      <c r="F185" s="27"/>
      <c r="G185" s="27"/>
      <c r="H185" s="28"/>
      <c r="I185" s="27"/>
      <c r="J185" s="23" t="str">
        <f aca="true">IF(OR($B185="",$H185=""),"",IF(OR($I185="Hecha",$I185="Cancelada"),"-",$H185-TODAY()))</f>
        <v/>
      </c>
      <c r="K185" s="29" t="str">
        <f aca="true">IF($B185="","",IF($I185="Hecha","Hecha",IF($I185="Cancelada","Cancelada",IF($I185="En espera","En espera",IF($H185="","Sin fecha",IF($H185&lt;TODAY(),"Vencida",IF($H185=TODAY(),"Hoy",IF($H185-TODAY()&lt;=7,"Esta semana","Más adelante"))))))))</f>
        <v/>
      </c>
      <c r="L185" s="27"/>
      <c r="M185" s="27"/>
      <c r="N185" s="28"/>
      <c r="O185" s="30" t="str">
        <f aca="false">IF($B185="","",IF(OR($K185="Vencida",$K185="Hoy"),COUNTIF($K$7:$K185,"Vencida")+COUNTIF($K$7:$K185,"Hoy"),""))</f>
        <v/>
      </c>
      <c r="P185" s="30" t="str">
        <f aca="false">IF(OR($B185="",$H185="",$I185="Hecha",$I185="Cancelada"),"",TEXT($H185,"yyyymmdd")&amp;"-"&amp;COUNTIFS($H$7:$H185,$H185,$I$7:$I185,"&lt;&gt;Hecha",$I$7:$I185,"&lt;&gt;Cancelada"))</f>
        <v/>
      </c>
    </row>
    <row r="186" customFormat="false" ht="15" hidden="false" customHeight="false" outlineLevel="0" collapsed="false">
      <c r="A186" s="25" t="str">
        <f aca="false">IF($B186="","",ROW()-6)</f>
        <v/>
      </c>
      <c r="B186" s="27"/>
      <c r="C186" s="27"/>
      <c r="D186" s="27"/>
      <c r="E186" s="27"/>
      <c r="F186" s="27"/>
      <c r="G186" s="27"/>
      <c r="H186" s="28"/>
      <c r="I186" s="27"/>
      <c r="J186" s="25" t="str">
        <f aca="true">IF(OR($B186="",$H186=""),"",IF(OR($I186="Hecha",$I186="Cancelada"),"-",$H186-TODAY()))</f>
        <v/>
      </c>
      <c r="K186" s="31" t="str">
        <f aca="true">IF($B186="","",IF($I186="Hecha","Hecha",IF($I186="Cancelada","Cancelada",IF($I186="En espera","En espera",IF($H186="","Sin fecha",IF($H186&lt;TODAY(),"Vencida",IF($H186=TODAY(),"Hoy",IF($H186-TODAY()&lt;=7,"Esta semana","Más adelante"))))))))</f>
        <v/>
      </c>
      <c r="L186" s="27"/>
      <c r="M186" s="27"/>
      <c r="N186" s="28"/>
      <c r="O186" s="30" t="str">
        <f aca="false">IF($B186="","",IF(OR($K186="Vencida",$K186="Hoy"),COUNTIF($K$7:$K186,"Vencida")+COUNTIF($K$7:$K186,"Hoy"),""))</f>
        <v/>
      </c>
      <c r="P186" s="30" t="str">
        <f aca="false">IF(OR($B186="",$H186="",$I186="Hecha",$I186="Cancelada"),"",TEXT($H186,"yyyymmdd")&amp;"-"&amp;COUNTIFS($H$7:$H186,$H186,$I$7:$I186,"&lt;&gt;Hecha",$I$7:$I186,"&lt;&gt;Cancelada"))</f>
        <v/>
      </c>
    </row>
    <row r="187" customFormat="false" ht="15" hidden="false" customHeight="false" outlineLevel="0" collapsed="false">
      <c r="A187" s="23" t="str">
        <f aca="false">IF($B187="","",ROW()-6)</f>
        <v/>
      </c>
      <c r="B187" s="27"/>
      <c r="C187" s="27"/>
      <c r="D187" s="27"/>
      <c r="E187" s="27"/>
      <c r="F187" s="27"/>
      <c r="G187" s="27"/>
      <c r="H187" s="28"/>
      <c r="I187" s="27"/>
      <c r="J187" s="23" t="str">
        <f aca="true">IF(OR($B187="",$H187=""),"",IF(OR($I187="Hecha",$I187="Cancelada"),"-",$H187-TODAY()))</f>
        <v/>
      </c>
      <c r="K187" s="29" t="str">
        <f aca="true">IF($B187="","",IF($I187="Hecha","Hecha",IF($I187="Cancelada","Cancelada",IF($I187="En espera","En espera",IF($H187="","Sin fecha",IF($H187&lt;TODAY(),"Vencida",IF($H187=TODAY(),"Hoy",IF($H187-TODAY()&lt;=7,"Esta semana","Más adelante"))))))))</f>
        <v/>
      </c>
      <c r="L187" s="27"/>
      <c r="M187" s="27"/>
      <c r="N187" s="28"/>
      <c r="O187" s="30" t="str">
        <f aca="false">IF($B187="","",IF(OR($K187="Vencida",$K187="Hoy"),COUNTIF($K$7:$K187,"Vencida")+COUNTIF($K$7:$K187,"Hoy"),""))</f>
        <v/>
      </c>
      <c r="P187" s="30" t="str">
        <f aca="false">IF(OR($B187="",$H187="",$I187="Hecha",$I187="Cancelada"),"",TEXT($H187,"yyyymmdd")&amp;"-"&amp;COUNTIFS($H$7:$H187,$H187,$I$7:$I187,"&lt;&gt;Hecha",$I$7:$I187,"&lt;&gt;Cancelada"))</f>
        <v/>
      </c>
    </row>
    <row r="188" customFormat="false" ht="15" hidden="false" customHeight="false" outlineLevel="0" collapsed="false">
      <c r="A188" s="25" t="str">
        <f aca="false">IF($B188="","",ROW()-6)</f>
        <v/>
      </c>
      <c r="B188" s="27"/>
      <c r="C188" s="27"/>
      <c r="D188" s="27"/>
      <c r="E188" s="27"/>
      <c r="F188" s="27"/>
      <c r="G188" s="27"/>
      <c r="H188" s="28"/>
      <c r="I188" s="27"/>
      <c r="J188" s="25" t="str">
        <f aca="true">IF(OR($B188="",$H188=""),"",IF(OR($I188="Hecha",$I188="Cancelada"),"-",$H188-TODAY()))</f>
        <v/>
      </c>
      <c r="K188" s="31" t="str">
        <f aca="true">IF($B188="","",IF($I188="Hecha","Hecha",IF($I188="Cancelada","Cancelada",IF($I188="En espera","En espera",IF($H188="","Sin fecha",IF($H188&lt;TODAY(),"Vencida",IF($H188=TODAY(),"Hoy",IF($H188-TODAY()&lt;=7,"Esta semana","Más adelante"))))))))</f>
        <v/>
      </c>
      <c r="L188" s="27"/>
      <c r="M188" s="27"/>
      <c r="N188" s="28"/>
      <c r="O188" s="30" t="str">
        <f aca="false">IF($B188="","",IF(OR($K188="Vencida",$K188="Hoy"),COUNTIF($K$7:$K188,"Vencida")+COUNTIF($K$7:$K188,"Hoy"),""))</f>
        <v/>
      </c>
      <c r="P188" s="30" t="str">
        <f aca="false">IF(OR($B188="",$H188="",$I188="Hecha",$I188="Cancelada"),"",TEXT($H188,"yyyymmdd")&amp;"-"&amp;COUNTIFS($H$7:$H188,$H188,$I$7:$I188,"&lt;&gt;Hecha",$I$7:$I188,"&lt;&gt;Cancelada"))</f>
        <v/>
      </c>
    </row>
    <row r="189" customFormat="false" ht="15" hidden="false" customHeight="false" outlineLevel="0" collapsed="false">
      <c r="A189" s="23" t="str">
        <f aca="false">IF($B189="","",ROW()-6)</f>
        <v/>
      </c>
      <c r="B189" s="27"/>
      <c r="C189" s="27"/>
      <c r="D189" s="27"/>
      <c r="E189" s="27"/>
      <c r="F189" s="27"/>
      <c r="G189" s="27"/>
      <c r="H189" s="28"/>
      <c r="I189" s="27"/>
      <c r="J189" s="23" t="str">
        <f aca="true">IF(OR($B189="",$H189=""),"",IF(OR($I189="Hecha",$I189="Cancelada"),"-",$H189-TODAY()))</f>
        <v/>
      </c>
      <c r="K189" s="29" t="str">
        <f aca="true">IF($B189="","",IF($I189="Hecha","Hecha",IF($I189="Cancelada","Cancelada",IF($I189="En espera","En espera",IF($H189="","Sin fecha",IF($H189&lt;TODAY(),"Vencida",IF($H189=TODAY(),"Hoy",IF($H189-TODAY()&lt;=7,"Esta semana","Más adelante"))))))))</f>
        <v/>
      </c>
      <c r="L189" s="27"/>
      <c r="M189" s="27"/>
      <c r="N189" s="28"/>
      <c r="O189" s="30" t="str">
        <f aca="false">IF($B189="","",IF(OR($K189="Vencida",$K189="Hoy"),COUNTIF($K$7:$K189,"Vencida")+COUNTIF($K$7:$K189,"Hoy"),""))</f>
        <v/>
      </c>
      <c r="P189" s="30" t="str">
        <f aca="false">IF(OR($B189="",$H189="",$I189="Hecha",$I189="Cancelada"),"",TEXT($H189,"yyyymmdd")&amp;"-"&amp;COUNTIFS($H$7:$H189,$H189,$I$7:$I189,"&lt;&gt;Hecha",$I$7:$I189,"&lt;&gt;Cancelada"))</f>
        <v/>
      </c>
    </row>
    <row r="190" customFormat="false" ht="15" hidden="false" customHeight="false" outlineLevel="0" collapsed="false">
      <c r="A190" s="25" t="str">
        <f aca="false">IF($B190="","",ROW()-6)</f>
        <v/>
      </c>
      <c r="B190" s="27"/>
      <c r="C190" s="27"/>
      <c r="D190" s="27"/>
      <c r="E190" s="27"/>
      <c r="F190" s="27"/>
      <c r="G190" s="27"/>
      <c r="H190" s="28"/>
      <c r="I190" s="27"/>
      <c r="J190" s="25" t="str">
        <f aca="true">IF(OR($B190="",$H190=""),"",IF(OR($I190="Hecha",$I190="Cancelada"),"-",$H190-TODAY()))</f>
        <v/>
      </c>
      <c r="K190" s="31" t="str">
        <f aca="true">IF($B190="","",IF($I190="Hecha","Hecha",IF($I190="Cancelada","Cancelada",IF($I190="En espera","En espera",IF($H190="","Sin fecha",IF($H190&lt;TODAY(),"Vencida",IF($H190=TODAY(),"Hoy",IF($H190-TODAY()&lt;=7,"Esta semana","Más adelante"))))))))</f>
        <v/>
      </c>
      <c r="L190" s="27"/>
      <c r="M190" s="27"/>
      <c r="N190" s="28"/>
      <c r="O190" s="30" t="str">
        <f aca="false">IF($B190="","",IF(OR($K190="Vencida",$K190="Hoy"),COUNTIF($K$7:$K190,"Vencida")+COUNTIF($K$7:$K190,"Hoy"),""))</f>
        <v/>
      </c>
      <c r="P190" s="30" t="str">
        <f aca="false">IF(OR($B190="",$H190="",$I190="Hecha",$I190="Cancelada"),"",TEXT($H190,"yyyymmdd")&amp;"-"&amp;COUNTIFS($H$7:$H190,$H190,$I$7:$I190,"&lt;&gt;Hecha",$I$7:$I190,"&lt;&gt;Cancelada"))</f>
        <v/>
      </c>
    </row>
    <row r="191" customFormat="false" ht="15" hidden="false" customHeight="false" outlineLevel="0" collapsed="false">
      <c r="A191" s="23" t="str">
        <f aca="false">IF($B191="","",ROW()-6)</f>
        <v/>
      </c>
      <c r="B191" s="27"/>
      <c r="C191" s="27"/>
      <c r="D191" s="27"/>
      <c r="E191" s="27"/>
      <c r="F191" s="27"/>
      <c r="G191" s="27"/>
      <c r="H191" s="28"/>
      <c r="I191" s="27"/>
      <c r="J191" s="23" t="str">
        <f aca="true">IF(OR($B191="",$H191=""),"",IF(OR($I191="Hecha",$I191="Cancelada"),"-",$H191-TODAY()))</f>
        <v/>
      </c>
      <c r="K191" s="29" t="str">
        <f aca="true">IF($B191="","",IF($I191="Hecha","Hecha",IF($I191="Cancelada","Cancelada",IF($I191="En espera","En espera",IF($H191="","Sin fecha",IF($H191&lt;TODAY(),"Vencida",IF($H191=TODAY(),"Hoy",IF($H191-TODAY()&lt;=7,"Esta semana","Más adelante"))))))))</f>
        <v/>
      </c>
      <c r="L191" s="27"/>
      <c r="M191" s="27"/>
      <c r="N191" s="28"/>
      <c r="O191" s="30" t="str">
        <f aca="false">IF($B191="","",IF(OR($K191="Vencida",$K191="Hoy"),COUNTIF($K$7:$K191,"Vencida")+COUNTIF($K$7:$K191,"Hoy"),""))</f>
        <v/>
      </c>
      <c r="P191" s="30" t="str">
        <f aca="false">IF(OR($B191="",$H191="",$I191="Hecha",$I191="Cancelada"),"",TEXT($H191,"yyyymmdd")&amp;"-"&amp;COUNTIFS($H$7:$H191,$H191,$I$7:$I191,"&lt;&gt;Hecha",$I$7:$I191,"&lt;&gt;Cancelada"))</f>
        <v/>
      </c>
    </row>
    <row r="192" customFormat="false" ht="15" hidden="false" customHeight="false" outlineLevel="0" collapsed="false">
      <c r="A192" s="25" t="str">
        <f aca="false">IF($B192="","",ROW()-6)</f>
        <v/>
      </c>
      <c r="B192" s="27"/>
      <c r="C192" s="27"/>
      <c r="D192" s="27"/>
      <c r="E192" s="27"/>
      <c r="F192" s="27"/>
      <c r="G192" s="27"/>
      <c r="H192" s="28"/>
      <c r="I192" s="27"/>
      <c r="J192" s="25" t="str">
        <f aca="true">IF(OR($B192="",$H192=""),"",IF(OR($I192="Hecha",$I192="Cancelada"),"-",$H192-TODAY()))</f>
        <v/>
      </c>
      <c r="K192" s="31" t="str">
        <f aca="true">IF($B192="","",IF($I192="Hecha","Hecha",IF($I192="Cancelada","Cancelada",IF($I192="En espera","En espera",IF($H192="","Sin fecha",IF($H192&lt;TODAY(),"Vencida",IF($H192=TODAY(),"Hoy",IF($H192-TODAY()&lt;=7,"Esta semana","Más adelante"))))))))</f>
        <v/>
      </c>
      <c r="L192" s="27"/>
      <c r="M192" s="27"/>
      <c r="N192" s="28"/>
      <c r="O192" s="30" t="str">
        <f aca="false">IF($B192="","",IF(OR($K192="Vencida",$K192="Hoy"),COUNTIF($K$7:$K192,"Vencida")+COUNTIF($K$7:$K192,"Hoy"),""))</f>
        <v/>
      </c>
      <c r="P192" s="30" t="str">
        <f aca="false">IF(OR($B192="",$H192="",$I192="Hecha",$I192="Cancelada"),"",TEXT($H192,"yyyymmdd")&amp;"-"&amp;COUNTIFS($H$7:$H192,$H192,$I$7:$I192,"&lt;&gt;Hecha",$I$7:$I192,"&lt;&gt;Cancelada"))</f>
        <v/>
      </c>
    </row>
    <row r="193" customFormat="false" ht="15" hidden="false" customHeight="false" outlineLevel="0" collapsed="false">
      <c r="A193" s="23" t="str">
        <f aca="false">IF($B193="","",ROW()-6)</f>
        <v/>
      </c>
      <c r="B193" s="27"/>
      <c r="C193" s="27"/>
      <c r="D193" s="27"/>
      <c r="E193" s="27"/>
      <c r="F193" s="27"/>
      <c r="G193" s="27"/>
      <c r="H193" s="28"/>
      <c r="I193" s="27"/>
      <c r="J193" s="23" t="str">
        <f aca="true">IF(OR($B193="",$H193=""),"",IF(OR($I193="Hecha",$I193="Cancelada"),"-",$H193-TODAY()))</f>
        <v/>
      </c>
      <c r="K193" s="29" t="str">
        <f aca="true">IF($B193="","",IF($I193="Hecha","Hecha",IF($I193="Cancelada","Cancelada",IF($I193="En espera","En espera",IF($H193="","Sin fecha",IF($H193&lt;TODAY(),"Vencida",IF($H193=TODAY(),"Hoy",IF($H193-TODAY()&lt;=7,"Esta semana","Más adelante"))))))))</f>
        <v/>
      </c>
      <c r="L193" s="27"/>
      <c r="M193" s="27"/>
      <c r="N193" s="28"/>
      <c r="O193" s="30" t="str">
        <f aca="false">IF($B193="","",IF(OR($K193="Vencida",$K193="Hoy"),COUNTIF($K$7:$K193,"Vencida")+COUNTIF($K$7:$K193,"Hoy"),""))</f>
        <v/>
      </c>
      <c r="P193" s="30" t="str">
        <f aca="false">IF(OR($B193="",$H193="",$I193="Hecha",$I193="Cancelada"),"",TEXT($H193,"yyyymmdd")&amp;"-"&amp;COUNTIFS($H$7:$H193,$H193,$I$7:$I193,"&lt;&gt;Hecha",$I$7:$I193,"&lt;&gt;Cancelada"))</f>
        <v/>
      </c>
    </row>
    <row r="194" customFormat="false" ht="15" hidden="false" customHeight="false" outlineLevel="0" collapsed="false">
      <c r="A194" s="25" t="str">
        <f aca="false">IF($B194="","",ROW()-6)</f>
        <v/>
      </c>
      <c r="B194" s="27"/>
      <c r="C194" s="27"/>
      <c r="D194" s="27"/>
      <c r="E194" s="27"/>
      <c r="F194" s="27"/>
      <c r="G194" s="27"/>
      <c r="H194" s="28"/>
      <c r="I194" s="27"/>
      <c r="J194" s="25" t="str">
        <f aca="true">IF(OR($B194="",$H194=""),"",IF(OR($I194="Hecha",$I194="Cancelada"),"-",$H194-TODAY()))</f>
        <v/>
      </c>
      <c r="K194" s="31" t="str">
        <f aca="true">IF($B194="","",IF($I194="Hecha","Hecha",IF($I194="Cancelada","Cancelada",IF($I194="En espera","En espera",IF($H194="","Sin fecha",IF($H194&lt;TODAY(),"Vencida",IF($H194=TODAY(),"Hoy",IF($H194-TODAY()&lt;=7,"Esta semana","Más adelante"))))))))</f>
        <v/>
      </c>
      <c r="L194" s="27"/>
      <c r="M194" s="27"/>
      <c r="N194" s="28"/>
      <c r="O194" s="30" t="str">
        <f aca="false">IF($B194="","",IF(OR($K194="Vencida",$K194="Hoy"),COUNTIF($K$7:$K194,"Vencida")+COUNTIF($K$7:$K194,"Hoy"),""))</f>
        <v/>
      </c>
      <c r="P194" s="30" t="str">
        <f aca="false">IF(OR($B194="",$H194="",$I194="Hecha",$I194="Cancelada"),"",TEXT($H194,"yyyymmdd")&amp;"-"&amp;COUNTIFS($H$7:$H194,$H194,$I$7:$I194,"&lt;&gt;Hecha",$I$7:$I194,"&lt;&gt;Cancelada"))</f>
        <v/>
      </c>
    </row>
    <row r="195" customFormat="false" ht="15" hidden="false" customHeight="false" outlineLevel="0" collapsed="false">
      <c r="A195" s="23" t="str">
        <f aca="false">IF($B195="","",ROW()-6)</f>
        <v/>
      </c>
      <c r="B195" s="27"/>
      <c r="C195" s="27"/>
      <c r="D195" s="27"/>
      <c r="E195" s="27"/>
      <c r="F195" s="27"/>
      <c r="G195" s="27"/>
      <c r="H195" s="28"/>
      <c r="I195" s="27"/>
      <c r="J195" s="23" t="str">
        <f aca="true">IF(OR($B195="",$H195=""),"",IF(OR($I195="Hecha",$I195="Cancelada"),"-",$H195-TODAY()))</f>
        <v/>
      </c>
      <c r="K195" s="29" t="str">
        <f aca="true">IF($B195="","",IF($I195="Hecha","Hecha",IF($I195="Cancelada","Cancelada",IF($I195="En espera","En espera",IF($H195="","Sin fecha",IF($H195&lt;TODAY(),"Vencida",IF($H195=TODAY(),"Hoy",IF($H195-TODAY()&lt;=7,"Esta semana","Más adelante"))))))))</f>
        <v/>
      </c>
      <c r="L195" s="27"/>
      <c r="M195" s="27"/>
      <c r="N195" s="28"/>
      <c r="O195" s="30" t="str">
        <f aca="false">IF($B195="","",IF(OR($K195="Vencida",$K195="Hoy"),COUNTIF($K$7:$K195,"Vencida")+COUNTIF($K$7:$K195,"Hoy"),""))</f>
        <v/>
      </c>
      <c r="P195" s="30" t="str">
        <f aca="false">IF(OR($B195="",$H195="",$I195="Hecha",$I195="Cancelada"),"",TEXT($H195,"yyyymmdd")&amp;"-"&amp;COUNTIFS($H$7:$H195,$H195,$I$7:$I195,"&lt;&gt;Hecha",$I$7:$I195,"&lt;&gt;Cancelada"))</f>
        <v/>
      </c>
    </row>
    <row r="196" customFormat="false" ht="15" hidden="false" customHeight="false" outlineLevel="0" collapsed="false">
      <c r="A196" s="25" t="str">
        <f aca="false">IF($B196="","",ROW()-6)</f>
        <v/>
      </c>
      <c r="B196" s="27"/>
      <c r="C196" s="27"/>
      <c r="D196" s="27"/>
      <c r="E196" s="27"/>
      <c r="F196" s="27"/>
      <c r="G196" s="27"/>
      <c r="H196" s="28"/>
      <c r="I196" s="27"/>
      <c r="J196" s="25" t="str">
        <f aca="true">IF(OR($B196="",$H196=""),"",IF(OR($I196="Hecha",$I196="Cancelada"),"-",$H196-TODAY()))</f>
        <v/>
      </c>
      <c r="K196" s="31" t="str">
        <f aca="true">IF($B196="","",IF($I196="Hecha","Hecha",IF($I196="Cancelada","Cancelada",IF($I196="En espera","En espera",IF($H196="","Sin fecha",IF($H196&lt;TODAY(),"Vencida",IF($H196=TODAY(),"Hoy",IF($H196-TODAY()&lt;=7,"Esta semana","Más adelante"))))))))</f>
        <v/>
      </c>
      <c r="L196" s="27"/>
      <c r="M196" s="27"/>
      <c r="N196" s="28"/>
      <c r="O196" s="30" t="str">
        <f aca="false">IF($B196="","",IF(OR($K196="Vencida",$K196="Hoy"),COUNTIF($K$7:$K196,"Vencida")+COUNTIF($K$7:$K196,"Hoy"),""))</f>
        <v/>
      </c>
      <c r="P196" s="30" t="str">
        <f aca="false">IF(OR($B196="",$H196="",$I196="Hecha",$I196="Cancelada"),"",TEXT($H196,"yyyymmdd")&amp;"-"&amp;COUNTIFS($H$7:$H196,$H196,$I$7:$I196,"&lt;&gt;Hecha",$I$7:$I196,"&lt;&gt;Cancelada"))</f>
        <v/>
      </c>
    </row>
    <row r="197" customFormat="false" ht="15" hidden="false" customHeight="false" outlineLevel="0" collapsed="false">
      <c r="A197" s="23" t="str">
        <f aca="false">IF($B197="","",ROW()-6)</f>
        <v/>
      </c>
      <c r="B197" s="27"/>
      <c r="C197" s="27"/>
      <c r="D197" s="27"/>
      <c r="E197" s="27"/>
      <c r="F197" s="27"/>
      <c r="G197" s="27"/>
      <c r="H197" s="28"/>
      <c r="I197" s="27"/>
      <c r="J197" s="23" t="str">
        <f aca="true">IF(OR($B197="",$H197=""),"",IF(OR($I197="Hecha",$I197="Cancelada"),"-",$H197-TODAY()))</f>
        <v/>
      </c>
      <c r="K197" s="29" t="str">
        <f aca="true">IF($B197="","",IF($I197="Hecha","Hecha",IF($I197="Cancelada","Cancelada",IF($I197="En espera","En espera",IF($H197="","Sin fecha",IF($H197&lt;TODAY(),"Vencida",IF($H197=TODAY(),"Hoy",IF($H197-TODAY()&lt;=7,"Esta semana","Más adelante"))))))))</f>
        <v/>
      </c>
      <c r="L197" s="27"/>
      <c r="M197" s="27"/>
      <c r="N197" s="28"/>
      <c r="O197" s="30" t="str">
        <f aca="false">IF($B197="","",IF(OR($K197="Vencida",$K197="Hoy"),COUNTIF($K$7:$K197,"Vencida")+COUNTIF($K$7:$K197,"Hoy"),""))</f>
        <v/>
      </c>
      <c r="P197" s="30" t="str">
        <f aca="false">IF(OR($B197="",$H197="",$I197="Hecha",$I197="Cancelada"),"",TEXT($H197,"yyyymmdd")&amp;"-"&amp;COUNTIFS($H$7:$H197,$H197,$I$7:$I197,"&lt;&gt;Hecha",$I$7:$I197,"&lt;&gt;Cancelada"))</f>
        <v/>
      </c>
    </row>
    <row r="198" customFormat="false" ht="15" hidden="false" customHeight="false" outlineLevel="0" collapsed="false">
      <c r="A198" s="25" t="str">
        <f aca="false">IF($B198="","",ROW()-6)</f>
        <v/>
      </c>
      <c r="B198" s="27"/>
      <c r="C198" s="27"/>
      <c r="D198" s="27"/>
      <c r="E198" s="27"/>
      <c r="F198" s="27"/>
      <c r="G198" s="27"/>
      <c r="H198" s="28"/>
      <c r="I198" s="27"/>
      <c r="J198" s="25" t="str">
        <f aca="true">IF(OR($B198="",$H198=""),"",IF(OR($I198="Hecha",$I198="Cancelada"),"-",$H198-TODAY()))</f>
        <v/>
      </c>
      <c r="K198" s="31" t="str">
        <f aca="true">IF($B198="","",IF($I198="Hecha","Hecha",IF($I198="Cancelada","Cancelada",IF($I198="En espera","En espera",IF($H198="","Sin fecha",IF($H198&lt;TODAY(),"Vencida",IF($H198=TODAY(),"Hoy",IF($H198-TODAY()&lt;=7,"Esta semana","Más adelante"))))))))</f>
        <v/>
      </c>
      <c r="L198" s="27"/>
      <c r="M198" s="27"/>
      <c r="N198" s="28"/>
      <c r="O198" s="30" t="str">
        <f aca="false">IF($B198="","",IF(OR($K198="Vencida",$K198="Hoy"),COUNTIF($K$7:$K198,"Vencida")+COUNTIF($K$7:$K198,"Hoy"),""))</f>
        <v/>
      </c>
      <c r="P198" s="30" t="str">
        <f aca="false">IF(OR($B198="",$H198="",$I198="Hecha",$I198="Cancelada"),"",TEXT($H198,"yyyymmdd")&amp;"-"&amp;COUNTIFS($H$7:$H198,$H198,$I$7:$I198,"&lt;&gt;Hecha",$I$7:$I198,"&lt;&gt;Cancelada"))</f>
        <v/>
      </c>
    </row>
    <row r="199" customFormat="false" ht="15" hidden="false" customHeight="false" outlineLevel="0" collapsed="false">
      <c r="A199" s="23" t="str">
        <f aca="false">IF($B199="","",ROW()-6)</f>
        <v/>
      </c>
      <c r="B199" s="27"/>
      <c r="C199" s="27"/>
      <c r="D199" s="27"/>
      <c r="E199" s="27"/>
      <c r="F199" s="27"/>
      <c r="G199" s="27"/>
      <c r="H199" s="28"/>
      <c r="I199" s="27"/>
      <c r="J199" s="23" t="str">
        <f aca="true">IF(OR($B199="",$H199=""),"",IF(OR($I199="Hecha",$I199="Cancelada"),"-",$H199-TODAY()))</f>
        <v/>
      </c>
      <c r="K199" s="29" t="str">
        <f aca="true">IF($B199="","",IF($I199="Hecha","Hecha",IF($I199="Cancelada","Cancelada",IF($I199="En espera","En espera",IF($H199="","Sin fecha",IF($H199&lt;TODAY(),"Vencida",IF($H199=TODAY(),"Hoy",IF($H199-TODAY()&lt;=7,"Esta semana","Más adelante"))))))))</f>
        <v/>
      </c>
      <c r="L199" s="27"/>
      <c r="M199" s="27"/>
      <c r="N199" s="28"/>
      <c r="O199" s="30" t="str">
        <f aca="false">IF($B199="","",IF(OR($K199="Vencida",$K199="Hoy"),COUNTIF($K$7:$K199,"Vencida")+COUNTIF($K$7:$K199,"Hoy"),""))</f>
        <v/>
      </c>
      <c r="P199" s="30" t="str">
        <f aca="false">IF(OR($B199="",$H199="",$I199="Hecha",$I199="Cancelada"),"",TEXT($H199,"yyyymmdd")&amp;"-"&amp;COUNTIFS($H$7:$H199,$H199,$I$7:$I199,"&lt;&gt;Hecha",$I$7:$I199,"&lt;&gt;Cancelada"))</f>
        <v/>
      </c>
    </row>
    <row r="200" customFormat="false" ht="15" hidden="false" customHeight="false" outlineLevel="0" collapsed="false">
      <c r="A200" s="25" t="str">
        <f aca="false">IF($B200="","",ROW()-6)</f>
        <v/>
      </c>
      <c r="B200" s="27"/>
      <c r="C200" s="27"/>
      <c r="D200" s="27"/>
      <c r="E200" s="27"/>
      <c r="F200" s="27"/>
      <c r="G200" s="27"/>
      <c r="H200" s="28"/>
      <c r="I200" s="27"/>
      <c r="J200" s="25" t="str">
        <f aca="true">IF(OR($B200="",$H200=""),"",IF(OR($I200="Hecha",$I200="Cancelada"),"-",$H200-TODAY()))</f>
        <v/>
      </c>
      <c r="K200" s="31" t="str">
        <f aca="true">IF($B200="","",IF($I200="Hecha","Hecha",IF($I200="Cancelada","Cancelada",IF($I200="En espera","En espera",IF($H200="","Sin fecha",IF($H200&lt;TODAY(),"Vencida",IF($H200=TODAY(),"Hoy",IF($H200-TODAY()&lt;=7,"Esta semana","Más adelante"))))))))</f>
        <v/>
      </c>
      <c r="L200" s="27"/>
      <c r="M200" s="27"/>
      <c r="N200" s="28"/>
      <c r="O200" s="30" t="str">
        <f aca="false">IF($B200="","",IF(OR($K200="Vencida",$K200="Hoy"),COUNTIF($K$7:$K200,"Vencida")+COUNTIF($K$7:$K200,"Hoy"),""))</f>
        <v/>
      </c>
      <c r="P200" s="30" t="str">
        <f aca="false">IF(OR($B200="",$H200="",$I200="Hecha",$I200="Cancelada"),"",TEXT($H200,"yyyymmdd")&amp;"-"&amp;COUNTIFS($H$7:$H200,$H200,$I$7:$I200,"&lt;&gt;Hecha",$I$7:$I200,"&lt;&gt;Cancelada"))</f>
        <v/>
      </c>
    </row>
    <row r="201" customFormat="false" ht="15" hidden="false" customHeight="false" outlineLevel="0" collapsed="false">
      <c r="A201" s="23" t="str">
        <f aca="false">IF($B201="","",ROW()-6)</f>
        <v/>
      </c>
      <c r="B201" s="27"/>
      <c r="C201" s="27"/>
      <c r="D201" s="27"/>
      <c r="E201" s="27"/>
      <c r="F201" s="27"/>
      <c r="G201" s="27"/>
      <c r="H201" s="28"/>
      <c r="I201" s="27"/>
      <c r="J201" s="23" t="str">
        <f aca="true">IF(OR($B201="",$H201=""),"",IF(OR($I201="Hecha",$I201="Cancelada"),"-",$H201-TODAY()))</f>
        <v/>
      </c>
      <c r="K201" s="29" t="str">
        <f aca="true">IF($B201="","",IF($I201="Hecha","Hecha",IF($I201="Cancelada","Cancelada",IF($I201="En espera","En espera",IF($H201="","Sin fecha",IF($H201&lt;TODAY(),"Vencida",IF($H201=TODAY(),"Hoy",IF($H201-TODAY()&lt;=7,"Esta semana","Más adelante"))))))))</f>
        <v/>
      </c>
      <c r="L201" s="27"/>
      <c r="M201" s="27"/>
      <c r="N201" s="28"/>
      <c r="O201" s="30" t="str">
        <f aca="false">IF($B201="","",IF(OR($K201="Vencida",$K201="Hoy"),COUNTIF($K$7:$K201,"Vencida")+COUNTIF($K$7:$K201,"Hoy"),""))</f>
        <v/>
      </c>
      <c r="P201" s="30" t="str">
        <f aca="false">IF(OR($B201="",$H201="",$I201="Hecha",$I201="Cancelada"),"",TEXT($H201,"yyyymmdd")&amp;"-"&amp;COUNTIFS($H$7:$H201,$H201,$I$7:$I201,"&lt;&gt;Hecha",$I$7:$I201,"&lt;&gt;Cancelada"))</f>
        <v/>
      </c>
    </row>
    <row r="202" customFormat="false" ht="15" hidden="false" customHeight="false" outlineLevel="0" collapsed="false">
      <c r="A202" s="25" t="str">
        <f aca="false">IF($B202="","",ROW()-6)</f>
        <v/>
      </c>
      <c r="B202" s="27"/>
      <c r="C202" s="27"/>
      <c r="D202" s="27"/>
      <c r="E202" s="27"/>
      <c r="F202" s="27"/>
      <c r="G202" s="27"/>
      <c r="H202" s="28"/>
      <c r="I202" s="27"/>
      <c r="J202" s="25" t="str">
        <f aca="true">IF(OR($B202="",$H202=""),"",IF(OR($I202="Hecha",$I202="Cancelada"),"-",$H202-TODAY()))</f>
        <v/>
      </c>
      <c r="K202" s="31" t="str">
        <f aca="true">IF($B202="","",IF($I202="Hecha","Hecha",IF($I202="Cancelada","Cancelada",IF($I202="En espera","En espera",IF($H202="","Sin fecha",IF($H202&lt;TODAY(),"Vencida",IF($H202=TODAY(),"Hoy",IF($H202-TODAY()&lt;=7,"Esta semana","Más adelante"))))))))</f>
        <v/>
      </c>
      <c r="L202" s="27"/>
      <c r="M202" s="27"/>
      <c r="N202" s="28"/>
      <c r="O202" s="30" t="str">
        <f aca="false">IF($B202="","",IF(OR($K202="Vencida",$K202="Hoy"),COUNTIF($K$7:$K202,"Vencida")+COUNTIF($K$7:$K202,"Hoy"),""))</f>
        <v/>
      </c>
      <c r="P202" s="30" t="str">
        <f aca="false">IF(OR($B202="",$H202="",$I202="Hecha",$I202="Cancelada"),"",TEXT($H202,"yyyymmdd")&amp;"-"&amp;COUNTIFS($H$7:$H202,$H202,$I$7:$I202,"&lt;&gt;Hecha",$I$7:$I202,"&lt;&gt;Cancelada"))</f>
        <v/>
      </c>
    </row>
    <row r="203" customFormat="false" ht="15" hidden="false" customHeight="false" outlineLevel="0" collapsed="false">
      <c r="A203" s="23" t="str">
        <f aca="false">IF($B203="","",ROW()-6)</f>
        <v/>
      </c>
      <c r="B203" s="27"/>
      <c r="C203" s="27"/>
      <c r="D203" s="27"/>
      <c r="E203" s="27"/>
      <c r="F203" s="27"/>
      <c r="G203" s="27"/>
      <c r="H203" s="28"/>
      <c r="I203" s="27"/>
      <c r="J203" s="23" t="str">
        <f aca="true">IF(OR($B203="",$H203=""),"",IF(OR($I203="Hecha",$I203="Cancelada"),"-",$H203-TODAY()))</f>
        <v/>
      </c>
      <c r="K203" s="29" t="str">
        <f aca="true">IF($B203="","",IF($I203="Hecha","Hecha",IF($I203="Cancelada","Cancelada",IF($I203="En espera","En espera",IF($H203="","Sin fecha",IF($H203&lt;TODAY(),"Vencida",IF($H203=TODAY(),"Hoy",IF($H203-TODAY()&lt;=7,"Esta semana","Más adelante"))))))))</f>
        <v/>
      </c>
      <c r="L203" s="27"/>
      <c r="M203" s="27"/>
      <c r="N203" s="28"/>
      <c r="O203" s="30" t="str">
        <f aca="false">IF($B203="","",IF(OR($K203="Vencida",$K203="Hoy"),COUNTIF($K$7:$K203,"Vencida")+COUNTIF($K$7:$K203,"Hoy"),""))</f>
        <v/>
      </c>
      <c r="P203" s="30" t="str">
        <f aca="false">IF(OR($B203="",$H203="",$I203="Hecha",$I203="Cancelada"),"",TEXT($H203,"yyyymmdd")&amp;"-"&amp;COUNTIFS($H$7:$H203,$H203,$I$7:$I203,"&lt;&gt;Hecha",$I$7:$I203,"&lt;&gt;Cancelada"))</f>
        <v/>
      </c>
    </row>
    <row r="204" customFormat="false" ht="15" hidden="false" customHeight="false" outlineLevel="0" collapsed="false">
      <c r="A204" s="25" t="str">
        <f aca="false">IF($B204="","",ROW()-6)</f>
        <v/>
      </c>
      <c r="B204" s="27"/>
      <c r="C204" s="27"/>
      <c r="D204" s="27"/>
      <c r="E204" s="27"/>
      <c r="F204" s="27"/>
      <c r="G204" s="27"/>
      <c r="H204" s="28"/>
      <c r="I204" s="27"/>
      <c r="J204" s="25" t="str">
        <f aca="true">IF(OR($B204="",$H204=""),"",IF(OR($I204="Hecha",$I204="Cancelada"),"-",$H204-TODAY()))</f>
        <v/>
      </c>
      <c r="K204" s="31" t="str">
        <f aca="true">IF($B204="","",IF($I204="Hecha","Hecha",IF($I204="Cancelada","Cancelada",IF($I204="En espera","En espera",IF($H204="","Sin fecha",IF($H204&lt;TODAY(),"Vencida",IF($H204=TODAY(),"Hoy",IF($H204-TODAY()&lt;=7,"Esta semana","Más adelante"))))))))</f>
        <v/>
      </c>
      <c r="L204" s="27"/>
      <c r="M204" s="27"/>
      <c r="N204" s="28"/>
      <c r="O204" s="30" t="str">
        <f aca="false">IF($B204="","",IF(OR($K204="Vencida",$K204="Hoy"),COUNTIF($K$7:$K204,"Vencida")+COUNTIF($K$7:$K204,"Hoy"),""))</f>
        <v/>
      </c>
      <c r="P204" s="30" t="str">
        <f aca="false">IF(OR($B204="",$H204="",$I204="Hecha",$I204="Cancelada"),"",TEXT($H204,"yyyymmdd")&amp;"-"&amp;COUNTIFS($H$7:$H204,$H204,$I$7:$I204,"&lt;&gt;Hecha",$I$7:$I204,"&lt;&gt;Cancelada"))</f>
        <v/>
      </c>
    </row>
    <row r="205" customFormat="false" ht="15" hidden="false" customHeight="false" outlineLevel="0" collapsed="false">
      <c r="A205" s="23" t="str">
        <f aca="false">IF($B205="","",ROW()-6)</f>
        <v/>
      </c>
      <c r="B205" s="27"/>
      <c r="C205" s="27"/>
      <c r="D205" s="27"/>
      <c r="E205" s="27"/>
      <c r="F205" s="27"/>
      <c r="G205" s="27"/>
      <c r="H205" s="28"/>
      <c r="I205" s="27"/>
      <c r="J205" s="23" t="str">
        <f aca="true">IF(OR($B205="",$H205=""),"",IF(OR($I205="Hecha",$I205="Cancelada"),"-",$H205-TODAY()))</f>
        <v/>
      </c>
      <c r="K205" s="29" t="str">
        <f aca="true">IF($B205="","",IF($I205="Hecha","Hecha",IF($I205="Cancelada","Cancelada",IF($I205="En espera","En espera",IF($H205="","Sin fecha",IF($H205&lt;TODAY(),"Vencida",IF($H205=TODAY(),"Hoy",IF($H205-TODAY()&lt;=7,"Esta semana","Más adelante"))))))))</f>
        <v/>
      </c>
      <c r="L205" s="27"/>
      <c r="M205" s="27"/>
      <c r="N205" s="28"/>
      <c r="O205" s="30" t="str">
        <f aca="false">IF($B205="","",IF(OR($K205="Vencida",$K205="Hoy"),COUNTIF($K$7:$K205,"Vencida")+COUNTIF($K$7:$K205,"Hoy"),""))</f>
        <v/>
      </c>
      <c r="P205" s="30" t="str">
        <f aca="false">IF(OR($B205="",$H205="",$I205="Hecha",$I205="Cancelada"),"",TEXT($H205,"yyyymmdd")&amp;"-"&amp;COUNTIFS($H$7:$H205,$H205,$I$7:$I205,"&lt;&gt;Hecha",$I$7:$I205,"&lt;&gt;Cancelada"))</f>
        <v/>
      </c>
    </row>
    <row r="206" customFormat="false" ht="15" hidden="false" customHeight="false" outlineLevel="0" collapsed="false">
      <c r="A206" s="25" t="str">
        <f aca="false">IF($B206="","",ROW()-6)</f>
        <v/>
      </c>
      <c r="B206" s="27"/>
      <c r="C206" s="27"/>
      <c r="D206" s="27"/>
      <c r="E206" s="27"/>
      <c r="F206" s="27"/>
      <c r="G206" s="27"/>
      <c r="H206" s="28"/>
      <c r="I206" s="27"/>
      <c r="J206" s="25" t="str">
        <f aca="true">IF(OR($B206="",$H206=""),"",IF(OR($I206="Hecha",$I206="Cancelada"),"-",$H206-TODAY()))</f>
        <v/>
      </c>
      <c r="K206" s="31" t="str">
        <f aca="true">IF($B206="","",IF($I206="Hecha","Hecha",IF($I206="Cancelada","Cancelada",IF($I206="En espera","En espera",IF($H206="","Sin fecha",IF($H206&lt;TODAY(),"Vencida",IF($H206=TODAY(),"Hoy",IF($H206-TODAY()&lt;=7,"Esta semana","Más adelante"))))))))</f>
        <v/>
      </c>
      <c r="L206" s="27"/>
      <c r="M206" s="27"/>
      <c r="N206" s="28"/>
      <c r="O206" s="30" t="str">
        <f aca="false">IF($B206="","",IF(OR($K206="Vencida",$K206="Hoy"),COUNTIF($K$7:$K206,"Vencida")+COUNTIF($K$7:$K206,"Hoy"),""))</f>
        <v/>
      </c>
      <c r="P206" s="30" t="str">
        <f aca="false">IF(OR($B206="",$H206="",$I206="Hecha",$I206="Cancelada"),"",TEXT($H206,"yyyymmdd")&amp;"-"&amp;COUNTIFS($H$7:$H206,$H206,$I$7:$I206,"&lt;&gt;Hecha",$I$7:$I206,"&lt;&gt;Cancelada"))</f>
        <v/>
      </c>
    </row>
  </sheetData>
  <autoFilter ref="A6:N206"/>
  <mergeCells count="3">
    <mergeCell ref="A1:N1"/>
    <mergeCell ref="A2:N2"/>
    <mergeCell ref="A3:N3"/>
  </mergeCells>
  <conditionalFormatting sqref="K7:K206">
    <cfRule type="cellIs" priority="2" operator="equal" aboveAverage="0" equalAverage="0" bottom="0" percent="0" rank="0" text="" dxfId="11">
      <formula>"Vencida"</formula>
    </cfRule>
    <cfRule type="cellIs" priority="3" operator="equal" aboveAverage="0" equalAverage="0" bottom="0" percent="0" rank="0" text="" dxfId="12">
      <formula>"Hoy"</formula>
    </cfRule>
    <cfRule type="cellIs" priority="4" operator="equal" aboveAverage="0" equalAverage="0" bottom="0" percent="0" rank="0" text="" dxfId="13">
      <formula>"Esta semana"</formula>
    </cfRule>
    <cfRule type="cellIs" priority="5" operator="equal" aboveAverage="0" equalAverage="0" bottom="0" percent="0" rank="0" text="" dxfId="14">
      <formula>"Más adelante"</formula>
    </cfRule>
    <cfRule type="cellIs" priority="6" operator="equal" aboveAverage="0" equalAverage="0" bottom="0" percent="0" rank="0" text="" dxfId="15">
      <formula>"Hecha"</formula>
    </cfRule>
    <cfRule type="cellIs" priority="7" operator="equal" aboveAverage="0" equalAverage="0" bottom="0" percent="0" rank="0" text="" dxfId="16">
      <formula>"En espera"</formula>
    </cfRule>
    <cfRule type="cellIs" priority="8" operator="equal" aboveAverage="0" equalAverage="0" bottom="0" percent="0" rank="0" text="" dxfId="16">
      <formula>"Cancelada"</formula>
    </cfRule>
    <cfRule type="cellIs" priority="9" operator="equal" aboveAverage="0" equalAverage="0" bottom="0" percent="0" rank="0" text="" dxfId="14">
      <formula>"Sin fecha"</formula>
    </cfRule>
  </conditionalFormatting>
  <conditionalFormatting sqref="B7:B206">
    <cfRule type="expression" priority="10" aboveAverage="0" equalAverage="0" bottom="0" percent="0" rank="0" text="" dxfId="17">
      <formula>$I7="Hecha"</formula>
    </cfRule>
  </conditionalFormatting>
  <conditionalFormatting sqref="D7:D206">
    <cfRule type="cellIs" priority="11" operator="equal" aboveAverage="0" equalAverage="0" bottom="0" percent="0" rank="0" text="" dxfId="18">
      <formula>"P1 · Urgente"</formula>
    </cfRule>
  </conditionalFormatting>
  <dataValidations count="7">
    <dataValidation allowBlank="true" errorStyle="stop" operator="between" showDropDown="false" showErrorMessage="false" showInputMessage="false" sqref="C7:C206" type="list">
      <formula1>Listas!$D$7:$D$30</formula1>
      <formula2>0</formula2>
    </dataValidation>
    <dataValidation allowBlank="true" errorStyle="stop" operator="between" showDropDown="false" showErrorMessage="false" showInputMessage="false" sqref="D7:D206" type="list">
      <formula1>Listas!$B$7:$B$30</formula1>
      <formula2>0</formula2>
    </dataValidation>
    <dataValidation allowBlank="true" errorStyle="stop" operator="between" showDropDown="false" showErrorMessage="false" showInputMessage="false" sqref="E7:E206" type="list">
      <formula1>Listas!$C$7:$C$30</formula1>
      <formula2>0</formula2>
    </dataValidation>
    <dataValidation allowBlank="true" errorStyle="stop" operator="between" showDropDown="false" showErrorMessage="false" showInputMessage="false" sqref="F7:F206" type="list">
      <formula1>Listas!$E$7:$E$30</formula1>
      <formula2>0</formula2>
    </dataValidation>
    <dataValidation allowBlank="true" errorStyle="stop" operator="between" showDropDown="false" showErrorMessage="false" showInputMessage="false" sqref="G7:G206" type="list">
      <formula1>Listas!$F$7:$F$30</formula1>
      <formula2>0</formula2>
    </dataValidation>
    <dataValidation allowBlank="true" errorStyle="stop" operator="between" showDropDown="false" showErrorMessage="false" showInputMessage="false" sqref="I7:I206" type="list">
      <formula1>Listas!$A$7:$A$30</formula1>
      <formula2>0</formula2>
    </dataValidation>
    <dataValidation allowBlank="true" errorStyle="stop" operator="between" showDropDown="false" showErrorMessage="false" showInputMessage="false" sqref="L7:L206" type="list">
      <formula1>Listas!$G$7:$G$30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4"/>
  </cols>
  <sheetData>
    <row r="1" customFormat="false" ht="25.5" hidden="false" customHeight="true" outlineLevel="0" collapsed="false">
      <c r="A1" s="12" t="s">
        <v>97</v>
      </c>
      <c r="B1" s="12"/>
      <c r="C1" s="12"/>
      <c r="D1" s="12"/>
      <c r="E1" s="12"/>
      <c r="F1" s="12"/>
      <c r="G1" s="12"/>
    </row>
    <row r="2" customFormat="false" ht="15" hidden="false" customHeight="true" outlineLevel="0" collapsed="false">
      <c r="A2" s="13" t="s">
        <v>98</v>
      </c>
      <c r="B2" s="13"/>
      <c r="C2" s="13"/>
      <c r="D2" s="13"/>
      <c r="E2" s="13"/>
      <c r="F2" s="13"/>
      <c r="G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</row>
    <row r="4" customFormat="false" ht="7.5" hidden="false" customHeight="true" outlineLevel="0" collapsed="false"/>
    <row r="6" customFormat="false" ht="19.5" hidden="false" customHeight="true" outlineLevel="0" collapsed="false">
      <c r="B6" s="6" t="s">
        <v>99</v>
      </c>
      <c r="C6" s="6"/>
      <c r="D6" s="6"/>
      <c r="E6" s="6"/>
      <c r="F6" s="6"/>
    </row>
    <row r="7" customFormat="false" ht="21.75" hidden="false" customHeight="true" outlineLevel="0" collapsed="false">
      <c r="B7" s="32"/>
      <c r="C7" s="32"/>
      <c r="D7" s="32"/>
      <c r="E7" s="32"/>
      <c r="F7" s="33" t="s">
        <v>100</v>
      </c>
    </row>
    <row r="8" customFormat="false" ht="21.75" hidden="false" customHeight="true" outlineLevel="0" collapsed="false">
      <c r="B8" s="32"/>
      <c r="C8" s="32"/>
      <c r="D8" s="32"/>
      <c r="E8" s="32"/>
      <c r="F8" s="34"/>
    </row>
    <row r="9" customFormat="false" ht="21.75" hidden="false" customHeight="true" outlineLevel="0" collapsed="false">
      <c r="B9" s="32"/>
      <c r="C9" s="32"/>
      <c r="D9" s="32"/>
      <c r="E9" s="32"/>
      <c r="F9" s="34"/>
    </row>
    <row r="10" customFormat="false" ht="15" hidden="false" customHeight="false" outlineLevel="0" collapsed="false">
      <c r="B10" s="35" t="s">
        <v>101</v>
      </c>
    </row>
    <row r="12" customFormat="false" ht="19.5" hidden="false" customHeight="true" outlineLevel="0" collapsed="false">
      <c r="B12" s="6" t="s">
        <v>102</v>
      </c>
      <c r="C12" s="6"/>
      <c r="D12" s="6"/>
      <c r="E12" s="6"/>
      <c r="F12" s="6"/>
    </row>
    <row r="13" customFormat="false" ht="24" hidden="false" customHeight="true" outlineLevel="0" collapsed="false">
      <c r="B13" s="22" t="s">
        <v>71</v>
      </c>
      <c r="C13" s="22" t="s">
        <v>72</v>
      </c>
      <c r="D13" s="22" t="s">
        <v>48</v>
      </c>
      <c r="E13" s="22" t="s">
        <v>50</v>
      </c>
      <c r="F13" s="22" t="s">
        <v>77</v>
      </c>
    </row>
    <row r="14" customFormat="false" ht="15" hidden="false" customHeight="false" outlineLevel="0" collapsed="false">
      <c r="B14" s="8" t="str">
        <f aca="false">IFERROR(INDEX(Tareas!$B$7:$B$206,MATCH(1,Tareas!$O$7:$O$206,0)),"")</f>
        <v>Llamar al proveedor por la cotización pendiente</v>
      </c>
      <c r="C14" s="8" t="str">
        <f aca="false">IFERROR(INDEX(Tareas!$C$7:$C$206,MATCH(1,Tareas!$O$7:$O$206,0)),"")</f>
        <v>Proyecto B</v>
      </c>
      <c r="D14" s="8" t="str">
        <f aca="false">IFERROR(INDEX(Tareas!$D$7:$D$206,MATCH(1,Tareas!$O$7:$O$206,0)),"")</f>
        <v>P2 · Importante</v>
      </c>
      <c r="E14" s="23" t="str">
        <f aca="false">IFERROR(INDEX(Tareas!$I$7:$I$206,MATCH(1,Tareas!$O$7:$O$206,0)),"")</f>
        <v>Por hacer</v>
      </c>
      <c r="F14" s="29" t="str">
        <f aca="false">IFERROR(INDEX(Tareas!$K$7:$K$206,MATCH(1,Tareas!$O$7:$O$206,0)),"")</f>
        <v>Vencida</v>
      </c>
    </row>
    <row r="15" customFormat="false" ht="15" hidden="false" customHeight="false" outlineLevel="0" collapsed="false">
      <c r="B15" s="24" t="str">
        <f aca="false">IFERROR(INDEX(Tareas!$B$7:$B$206,MATCH(2,Tareas!$O$7:$O$206,0)),"")</f>
        <v/>
      </c>
      <c r="C15" s="24" t="str">
        <f aca="false">IFERROR(INDEX(Tareas!$C$7:$C$206,MATCH(2,Tareas!$O$7:$O$206,0)),"")</f>
        <v/>
      </c>
      <c r="D15" s="24" t="str">
        <f aca="false">IFERROR(INDEX(Tareas!$D$7:$D$206,MATCH(2,Tareas!$O$7:$O$206,0)),"")</f>
        <v/>
      </c>
      <c r="E15" s="25" t="str">
        <f aca="false">IFERROR(INDEX(Tareas!$I$7:$I$206,MATCH(2,Tareas!$O$7:$O$206,0)),"")</f>
        <v/>
      </c>
      <c r="F15" s="31" t="str">
        <f aca="false">IFERROR(INDEX(Tareas!$K$7:$K$206,MATCH(2,Tareas!$O$7:$O$206,0)),"")</f>
        <v/>
      </c>
    </row>
    <row r="16" customFormat="false" ht="15" hidden="false" customHeight="false" outlineLevel="0" collapsed="false">
      <c r="B16" s="8" t="str">
        <f aca="false">IFERROR(INDEX(Tareas!$B$7:$B$206,MATCH(3,Tareas!$O$7:$O$206,0)),"")</f>
        <v/>
      </c>
      <c r="C16" s="8" t="str">
        <f aca="false">IFERROR(INDEX(Tareas!$C$7:$C$206,MATCH(3,Tareas!$O$7:$O$206,0)),"")</f>
        <v/>
      </c>
      <c r="D16" s="8" t="str">
        <f aca="false">IFERROR(INDEX(Tareas!$D$7:$D$206,MATCH(3,Tareas!$O$7:$O$206,0)),"")</f>
        <v/>
      </c>
      <c r="E16" s="23" t="str">
        <f aca="false">IFERROR(INDEX(Tareas!$I$7:$I$206,MATCH(3,Tareas!$O$7:$O$206,0)),"")</f>
        <v/>
      </c>
      <c r="F16" s="29" t="str">
        <f aca="false">IFERROR(INDEX(Tareas!$K$7:$K$206,MATCH(3,Tareas!$O$7:$O$206,0)),"")</f>
        <v/>
      </c>
    </row>
    <row r="17" customFormat="false" ht="15" hidden="false" customHeight="false" outlineLevel="0" collapsed="false">
      <c r="B17" s="24" t="str">
        <f aca="false">IFERROR(INDEX(Tareas!$B$7:$B$206,MATCH(4,Tareas!$O$7:$O$206,0)),"")</f>
        <v/>
      </c>
      <c r="C17" s="24" t="str">
        <f aca="false">IFERROR(INDEX(Tareas!$C$7:$C$206,MATCH(4,Tareas!$O$7:$O$206,0)),"")</f>
        <v/>
      </c>
      <c r="D17" s="24" t="str">
        <f aca="false">IFERROR(INDEX(Tareas!$D$7:$D$206,MATCH(4,Tareas!$O$7:$O$206,0)),"")</f>
        <v/>
      </c>
      <c r="E17" s="25" t="str">
        <f aca="false">IFERROR(INDEX(Tareas!$I$7:$I$206,MATCH(4,Tareas!$O$7:$O$206,0)),"")</f>
        <v/>
      </c>
      <c r="F17" s="31" t="str">
        <f aca="false">IFERROR(INDEX(Tareas!$K$7:$K$206,MATCH(4,Tareas!$O$7:$O$206,0)),"")</f>
        <v/>
      </c>
    </row>
    <row r="18" customFormat="false" ht="15" hidden="false" customHeight="false" outlineLevel="0" collapsed="false">
      <c r="B18" s="8" t="str">
        <f aca="false">IFERROR(INDEX(Tareas!$B$7:$B$206,MATCH(5,Tareas!$O$7:$O$206,0)),"")</f>
        <v/>
      </c>
      <c r="C18" s="8" t="str">
        <f aca="false">IFERROR(INDEX(Tareas!$C$7:$C$206,MATCH(5,Tareas!$O$7:$O$206,0)),"")</f>
        <v/>
      </c>
      <c r="D18" s="8" t="str">
        <f aca="false">IFERROR(INDEX(Tareas!$D$7:$D$206,MATCH(5,Tareas!$O$7:$O$206,0)),"")</f>
        <v/>
      </c>
      <c r="E18" s="23" t="str">
        <f aca="false">IFERROR(INDEX(Tareas!$I$7:$I$206,MATCH(5,Tareas!$O$7:$O$206,0)),"")</f>
        <v/>
      </c>
      <c r="F18" s="29" t="str">
        <f aca="false">IFERROR(INDEX(Tareas!$K$7:$K$206,MATCH(5,Tareas!$O$7:$O$206,0)),"")</f>
        <v/>
      </c>
    </row>
    <row r="19" customFormat="false" ht="15" hidden="false" customHeight="false" outlineLevel="0" collapsed="false">
      <c r="B19" s="24" t="str">
        <f aca="false">IFERROR(INDEX(Tareas!$B$7:$B$206,MATCH(6,Tareas!$O$7:$O$206,0)),"")</f>
        <v/>
      </c>
      <c r="C19" s="24" t="str">
        <f aca="false">IFERROR(INDEX(Tareas!$C$7:$C$206,MATCH(6,Tareas!$O$7:$O$206,0)),"")</f>
        <v/>
      </c>
      <c r="D19" s="24" t="str">
        <f aca="false">IFERROR(INDEX(Tareas!$D$7:$D$206,MATCH(6,Tareas!$O$7:$O$206,0)),"")</f>
        <v/>
      </c>
      <c r="E19" s="25" t="str">
        <f aca="false">IFERROR(INDEX(Tareas!$I$7:$I$206,MATCH(6,Tareas!$O$7:$O$206,0)),"")</f>
        <v/>
      </c>
      <c r="F19" s="31" t="str">
        <f aca="false">IFERROR(INDEX(Tareas!$K$7:$K$206,MATCH(6,Tareas!$O$7:$O$206,0)),"")</f>
        <v/>
      </c>
    </row>
    <row r="20" customFormat="false" ht="15" hidden="false" customHeight="false" outlineLevel="0" collapsed="false">
      <c r="B20" s="8" t="str">
        <f aca="false">IFERROR(INDEX(Tareas!$B$7:$B$206,MATCH(7,Tareas!$O$7:$O$206,0)),"")</f>
        <v/>
      </c>
      <c r="C20" s="8" t="str">
        <f aca="false">IFERROR(INDEX(Tareas!$C$7:$C$206,MATCH(7,Tareas!$O$7:$O$206,0)),"")</f>
        <v/>
      </c>
      <c r="D20" s="8" t="str">
        <f aca="false">IFERROR(INDEX(Tareas!$D$7:$D$206,MATCH(7,Tareas!$O$7:$O$206,0)),"")</f>
        <v/>
      </c>
      <c r="E20" s="23" t="str">
        <f aca="false">IFERROR(INDEX(Tareas!$I$7:$I$206,MATCH(7,Tareas!$O$7:$O$206,0)),"")</f>
        <v/>
      </c>
      <c r="F20" s="29" t="str">
        <f aca="false">IFERROR(INDEX(Tareas!$K$7:$K$206,MATCH(7,Tareas!$O$7:$O$206,0)),"")</f>
        <v/>
      </c>
    </row>
    <row r="21" customFormat="false" ht="15" hidden="false" customHeight="false" outlineLevel="0" collapsed="false">
      <c r="B21" s="24" t="str">
        <f aca="false">IFERROR(INDEX(Tareas!$B$7:$B$206,MATCH(8,Tareas!$O$7:$O$206,0)),"")</f>
        <v/>
      </c>
      <c r="C21" s="24" t="str">
        <f aca="false">IFERROR(INDEX(Tareas!$C$7:$C$206,MATCH(8,Tareas!$O$7:$O$206,0)),"")</f>
        <v/>
      </c>
      <c r="D21" s="24" t="str">
        <f aca="false">IFERROR(INDEX(Tareas!$D$7:$D$206,MATCH(8,Tareas!$O$7:$O$206,0)),"")</f>
        <v/>
      </c>
      <c r="E21" s="25" t="str">
        <f aca="false">IFERROR(INDEX(Tareas!$I$7:$I$206,MATCH(8,Tareas!$O$7:$O$206,0)),"")</f>
        <v/>
      </c>
      <c r="F21" s="31" t="str">
        <f aca="false">IFERROR(INDEX(Tareas!$K$7:$K$206,MATCH(8,Tareas!$O$7:$O$206,0)),"")</f>
        <v/>
      </c>
    </row>
    <row r="22" customFormat="false" ht="15" hidden="false" customHeight="false" outlineLevel="0" collapsed="false">
      <c r="B22" s="8" t="str">
        <f aca="false">IFERROR(INDEX(Tareas!$B$7:$B$206,MATCH(9,Tareas!$O$7:$O$206,0)),"")</f>
        <v/>
      </c>
      <c r="C22" s="8" t="str">
        <f aca="false">IFERROR(INDEX(Tareas!$C$7:$C$206,MATCH(9,Tareas!$O$7:$O$206,0)),"")</f>
        <v/>
      </c>
      <c r="D22" s="8" t="str">
        <f aca="false">IFERROR(INDEX(Tareas!$D$7:$D$206,MATCH(9,Tareas!$O$7:$O$206,0)),"")</f>
        <v/>
      </c>
      <c r="E22" s="23" t="str">
        <f aca="false">IFERROR(INDEX(Tareas!$I$7:$I$206,MATCH(9,Tareas!$O$7:$O$206,0)),"")</f>
        <v/>
      </c>
      <c r="F22" s="29" t="str">
        <f aca="false">IFERROR(INDEX(Tareas!$K$7:$K$206,MATCH(9,Tareas!$O$7:$O$206,0)),"")</f>
        <v/>
      </c>
    </row>
    <row r="23" customFormat="false" ht="15" hidden="false" customHeight="false" outlineLevel="0" collapsed="false">
      <c r="B23" s="24" t="str">
        <f aca="false">IFERROR(INDEX(Tareas!$B$7:$B$206,MATCH(10,Tareas!$O$7:$O$206,0)),"")</f>
        <v/>
      </c>
      <c r="C23" s="24" t="str">
        <f aca="false">IFERROR(INDEX(Tareas!$C$7:$C$206,MATCH(10,Tareas!$O$7:$O$206,0)),"")</f>
        <v/>
      </c>
      <c r="D23" s="24" t="str">
        <f aca="false">IFERROR(INDEX(Tareas!$D$7:$D$206,MATCH(10,Tareas!$O$7:$O$206,0)),"")</f>
        <v/>
      </c>
      <c r="E23" s="25" t="str">
        <f aca="false">IFERROR(INDEX(Tareas!$I$7:$I$206,MATCH(10,Tareas!$O$7:$O$206,0)),"")</f>
        <v/>
      </c>
      <c r="F23" s="31" t="str">
        <f aca="false">IFERROR(INDEX(Tareas!$K$7:$K$206,MATCH(10,Tareas!$O$7:$O$206,0)),"")</f>
        <v/>
      </c>
    </row>
    <row r="24" customFormat="false" ht="15" hidden="false" customHeight="false" outlineLevel="0" collapsed="false">
      <c r="B24" s="8" t="str">
        <f aca="false">IFERROR(INDEX(Tareas!$B$7:$B$206,MATCH(11,Tareas!$O$7:$O$206,0)),"")</f>
        <v/>
      </c>
      <c r="C24" s="8" t="str">
        <f aca="false">IFERROR(INDEX(Tareas!$C$7:$C$206,MATCH(11,Tareas!$O$7:$O$206,0)),"")</f>
        <v/>
      </c>
      <c r="D24" s="8" t="str">
        <f aca="false">IFERROR(INDEX(Tareas!$D$7:$D$206,MATCH(11,Tareas!$O$7:$O$206,0)),"")</f>
        <v/>
      </c>
      <c r="E24" s="23" t="str">
        <f aca="false">IFERROR(INDEX(Tareas!$I$7:$I$206,MATCH(11,Tareas!$O$7:$O$206,0)),"")</f>
        <v/>
      </c>
      <c r="F24" s="29" t="str">
        <f aca="false">IFERROR(INDEX(Tareas!$K$7:$K$206,MATCH(11,Tareas!$O$7:$O$206,0)),"")</f>
        <v/>
      </c>
    </row>
    <row r="25" customFormat="false" ht="15" hidden="false" customHeight="false" outlineLevel="0" collapsed="false">
      <c r="B25" s="24" t="str">
        <f aca="false">IFERROR(INDEX(Tareas!$B$7:$B$206,MATCH(12,Tareas!$O$7:$O$206,0)),"")</f>
        <v/>
      </c>
      <c r="C25" s="24" t="str">
        <f aca="false">IFERROR(INDEX(Tareas!$C$7:$C$206,MATCH(12,Tareas!$O$7:$O$206,0)),"")</f>
        <v/>
      </c>
      <c r="D25" s="24" t="str">
        <f aca="false">IFERROR(INDEX(Tareas!$D$7:$D$206,MATCH(12,Tareas!$O$7:$O$206,0)),"")</f>
        <v/>
      </c>
      <c r="E25" s="25" t="str">
        <f aca="false">IFERROR(INDEX(Tareas!$I$7:$I$206,MATCH(12,Tareas!$O$7:$O$206,0)),"")</f>
        <v/>
      </c>
      <c r="F25" s="31" t="str">
        <f aca="false">IFERROR(INDEX(Tareas!$K$7:$K$206,MATCH(12,Tareas!$O$7:$O$206,0)),"")</f>
        <v/>
      </c>
    </row>
    <row r="26" customFormat="false" ht="15" hidden="false" customHeight="false" outlineLevel="0" collapsed="false">
      <c r="B26" s="8" t="str">
        <f aca="false">IFERROR(INDEX(Tareas!$B$7:$B$206,MATCH(13,Tareas!$O$7:$O$206,0)),"")</f>
        <v/>
      </c>
      <c r="C26" s="8" t="str">
        <f aca="false">IFERROR(INDEX(Tareas!$C$7:$C$206,MATCH(13,Tareas!$O$7:$O$206,0)),"")</f>
        <v/>
      </c>
      <c r="D26" s="8" t="str">
        <f aca="false">IFERROR(INDEX(Tareas!$D$7:$D$206,MATCH(13,Tareas!$O$7:$O$206,0)),"")</f>
        <v/>
      </c>
      <c r="E26" s="23" t="str">
        <f aca="false">IFERROR(INDEX(Tareas!$I$7:$I$206,MATCH(13,Tareas!$O$7:$O$206,0)),"")</f>
        <v/>
      </c>
      <c r="F26" s="29" t="str">
        <f aca="false">IFERROR(INDEX(Tareas!$K$7:$K$206,MATCH(13,Tareas!$O$7:$O$206,0)),"")</f>
        <v/>
      </c>
    </row>
    <row r="27" customFormat="false" ht="15" hidden="false" customHeight="false" outlineLevel="0" collapsed="false">
      <c r="B27" s="24" t="str">
        <f aca="false">IFERROR(INDEX(Tareas!$B$7:$B$206,MATCH(14,Tareas!$O$7:$O$206,0)),"")</f>
        <v/>
      </c>
      <c r="C27" s="24" t="str">
        <f aca="false">IFERROR(INDEX(Tareas!$C$7:$C$206,MATCH(14,Tareas!$O$7:$O$206,0)),"")</f>
        <v/>
      </c>
      <c r="D27" s="24" t="str">
        <f aca="false">IFERROR(INDEX(Tareas!$D$7:$D$206,MATCH(14,Tareas!$O$7:$O$206,0)),"")</f>
        <v/>
      </c>
      <c r="E27" s="25" t="str">
        <f aca="false">IFERROR(INDEX(Tareas!$I$7:$I$206,MATCH(14,Tareas!$O$7:$O$206,0)),"")</f>
        <v/>
      </c>
      <c r="F27" s="31" t="str">
        <f aca="false">IFERROR(INDEX(Tareas!$K$7:$K$206,MATCH(14,Tareas!$O$7:$O$206,0)),"")</f>
        <v/>
      </c>
    </row>
    <row r="28" customFormat="false" ht="15" hidden="false" customHeight="false" outlineLevel="0" collapsed="false">
      <c r="B28" s="8" t="str">
        <f aca="false">IFERROR(INDEX(Tareas!$B$7:$B$206,MATCH(15,Tareas!$O$7:$O$206,0)),"")</f>
        <v/>
      </c>
      <c r="C28" s="8" t="str">
        <f aca="false">IFERROR(INDEX(Tareas!$C$7:$C$206,MATCH(15,Tareas!$O$7:$O$206,0)),"")</f>
        <v/>
      </c>
      <c r="D28" s="8" t="str">
        <f aca="false">IFERROR(INDEX(Tareas!$D$7:$D$206,MATCH(15,Tareas!$O$7:$O$206,0)),"")</f>
        <v/>
      </c>
      <c r="E28" s="23" t="str">
        <f aca="false">IFERROR(INDEX(Tareas!$I$7:$I$206,MATCH(15,Tareas!$O$7:$O$206,0)),"")</f>
        <v/>
      </c>
      <c r="F28" s="29" t="str">
        <f aca="false">IFERROR(INDEX(Tareas!$K$7:$K$206,MATCH(15,Tareas!$O$7:$O$206,0)),"")</f>
        <v/>
      </c>
    </row>
    <row r="29" customFormat="false" ht="15" hidden="false" customHeight="false" outlineLevel="0" collapsed="false">
      <c r="B29" s="24" t="str">
        <f aca="false">IFERROR(INDEX(Tareas!$B$7:$B$206,MATCH(16,Tareas!$O$7:$O$206,0)),"")</f>
        <v/>
      </c>
      <c r="C29" s="24" t="str">
        <f aca="false">IFERROR(INDEX(Tareas!$C$7:$C$206,MATCH(16,Tareas!$O$7:$O$206,0)),"")</f>
        <v/>
      </c>
      <c r="D29" s="24" t="str">
        <f aca="false">IFERROR(INDEX(Tareas!$D$7:$D$206,MATCH(16,Tareas!$O$7:$O$206,0)),"")</f>
        <v/>
      </c>
      <c r="E29" s="25" t="str">
        <f aca="false">IFERROR(INDEX(Tareas!$I$7:$I$206,MATCH(16,Tareas!$O$7:$O$206,0)),"")</f>
        <v/>
      </c>
      <c r="F29" s="31" t="str">
        <f aca="false">IFERROR(INDEX(Tareas!$K$7:$K$206,MATCH(16,Tareas!$O$7:$O$206,0)),"")</f>
        <v/>
      </c>
    </row>
    <row r="30" customFormat="false" ht="15" hidden="false" customHeight="false" outlineLevel="0" collapsed="false">
      <c r="B30" s="8" t="str">
        <f aca="false">IFERROR(INDEX(Tareas!$B$7:$B$206,MATCH(17,Tareas!$O$7:$O$206,0)),"")</f>
        <v/>
      </c>
      <c r="C30" s="8" t="str">
        <f aca="false">IFERROR(INDEX(Tareas!$C$7:$C$206,MATCH(17,Tareas!$O$7:$O$206,0)),"")</f>
        <v/>
      </c>
      <c r="D30" s="8" t="str">
        <f aca="false">IFERROR(INDEX(Tareas!$D$7:$D$206,MATCH(17,Tareas!$O$7:$O$206,0)),"")</f>
        <v/>
      </c>
      <c r="E30" s="23" t="str">
        <f aca="false">IFERROR(INDEX(Tareas!$I$7:$I$206,MATCH(17,Tareas!$O$7:$O$206,0)),"")</f>
        <v/>
      </c>
      <c r="F30" s="29" t="str">
        <f aca="false">IFERROR(INDEX(Tareas!$K$7:$K$206,MATCH(17,Tareas!$O$7:$O$206,0)),"")</f>
        <v/>
      </c>
    </row>
    <row r="31" customFormat="false" ht="15" hidden="false" customHeight="false" outlineLevel="0" collapsed="false">
      <c r="B31" s="24" t="str">
        <f aca="false">IFERROR(INDEX(Tareas!$B$7:$B$206,MATCH(18,Tareas!$O$7:$O$206,0)),"")</f>
        <v/>
      </c>
      <c r="C31" s="24" t="str">
        <f aca="false">IFERROR(INDEX(Tareas!$C$7:$C$206,MATCH(18,Tareas!$O$7:$O$206,0)),"")</f>
        <v/>
      </c>
      <c r="D31" s="24" t="str">
        <f aca="false">IFERROR(INDEX(Tareas!$D$7:$D$206,MATCH(18,Tareas!$O$7:$O$206,0)),"")</f>
        <v/>
      </c>
      <c r="E31" s="25" t="str">
        <f aca="false">IFERROR(INDEX(Tareas!$I$7:$I$206,MATCH(18,Tareas!$O$7:$O$206,0)),"")</f>
        <v/>
      </c>
      <c r="F31" s="31" t="str">
        <f aca="false">IFERROR(INDEX(Tareas!$K$7:$K$206,MATCH(18,Tareas!$O$7:$O$206,0)),"")</f>
        <v/>
      </c>
    </row>
    <row r="32" customFormat="false" ht="15" hidden="false" customHeight="false" outlineLevel="0" collapsed="false">
      <c r="B32" s="8" t="str">
        <f aca="false">IFERROR(INDEX(Tareas!$B$7:$B$206,MATCH(19,Tareas!$O$7:$O$206,0)),"")</f>
        <v/>
      </c>
      <c r="C32" s="8" t="str">
        <f aca="false">IFERROR(INDEX(Tareas!$C$7:$C$206,MATCH(19,Tareas!$O$7:$O$206,0)),"")</f>
        <v/>
      </c>
      <c r="D32" s="8" t="str">
        <f aca="false">IFERROR(INDEX(Tareas!$D$7:$D$206,MATCH(19,Tareas!$O$7:$O$206,0)),"")</f>
        <v/>
      </c>
      <c r="E32" s="23" t="str">
        <f aca="false">IFERROR(INDEX(Tareas!$I$7:$I$206,MATCH(19,Tareas!$O$7:$O$206,0)),"")</f>
        <v/>
      </c>
      <c r="F32" s="29" t="str">
        <f aca="false">IFERROR(INDEX(Tareas!$K$7:$K$206,MATCH(19,Tareas!$O$7:$O$206,0)),"")</f>
        <v/>
      </c>
    </row>
    <row r="33" customFormat="false" ht="15" hidden="false" customHeight="false" outlineLevel="0" collapsed="false">
      <c r="B33" s="24" t="str">
        <f aca="false">IFERROR(INDEX(Tareas!$B$7:$B$206,MATCH(20,Tareas!$O$7:$O$206,0)),"")</f>
        <v/>
      </c>
      <c r="C33" s="24" t="str">
        <f aca="false">IFERROR(INDEX(Tareas!$C$7:$C$206,MATCH(20,Tareas!$O$7:$O$206,0)),"")</f>
        <v/>
      </c>
      <c r="D33" s="24" t="str">
        <f aca="false">IFERROR(INDEX(Tareas!$D$7:$D$206,MATCH(20,Tareas!$O$7:$O$206,0)),"")</f>
        <v/>
      </c>
      <c r="E33" s="25" t="str">
        <f aca="false">IFERROR(INDEX(Tareas!$I$7:$I$206,MATCH(20,Tareas!$O$7:$O$206,0)),"")</f>
        <v/>
      </c>
      <c r="F33" s="31" t="str">
        <f aca="false">IFERROR(INDEX(Tareas!$K$7:$K$206,MATCH(20,Tareas!$O$7:$O$206,0)),"")</f>
        <v/>
      </c>
    </row>
    <row r="34" customFormat="false" ht="15" hidden="false" customHeight="false" outlineLevel="0" collapsed="false">
      <c r="B34" s="8" t="str">
        <f aca="false">IFERROR(INDEX(Tareas!$B$7:$B$206,MATCH(21,Tareas!$O$7:$O$206,0)),"")</f>
        <v/>
      </c>
      <c r="C34" s="8" t="str">
        <f aca="false">IFERROR(INDEX(Tareas!$C$7:$C$206,MATCH(21,Tareas!$O$7:$O$206,0)),"")</f>
        <v/>
      </c>
      <c r="D34" s="8" t="str">
        <f aca="false">IFERROR(INDEX(Tareas!$D$7:$D$206,MATCH(21,Tareas!$O$7:$O$206,0)),"")</f>
        <v/>
      </c>
      <c r="E34" s="23" t="str">
        <f aca="false">IFERROR(INDEX(Tareas!$I$7:$I$206,MATCH(21,Tareas!$O$7:$O$206,0)),"")</f>
        <v/>
      </c>
      <c r="F34" s="29" t="str">
        <f aca="false">IFERROR(INDEX(Tareas!$K$7:$K$206,MATCH(21,Tareas!$O$7:$O$206,0)),"")</f>
        <v/>
      </c>
    </row>
    <row r="35" customFormat="false" ht="15" hidden="false" customHeight="false" outlineLevel="0" collapsed="false">
      <c r="B35" s="24" t="str">
        <f aca="false">IFERROR(INDEX(Tareas!$B$7:$B$206,MATCH(22,Tareas!$O$7:$O$206,0)),"")</f>
        <v/>
      </c>
      <c r="C35" s="24" t="str">
        <f aca="false">IFERROR(INDEX(Tareas!$C$7:$C$206,MATCH(22,Tareas!$O$7:$O$206,0)),"")</f>
        <v/>
      </c>
      <c r="D35" s="24" t="str">
        <f aca="false">IFERROR(INDEX(Tareas!$D$7:$D$206,MATCH(22,Tareas!$O$7:$O$206,0)),"")</f>
        <v/>
      </c>
      <c r="E35" s="25" t="str">
        <f aca="false">IFERROR(INDEX(Tareas!$I$7:$I$206,MATCH(22,Tareas!$O$7:$O$206,0)),"")</f>
        <v/>
      </c>
      <c r="F35" s="31" t="str">
        <f aca="false">IFERROR(INDEX(Tareas!$K$7:$K$206,MATCH(22,Tareas!$O$7:$O$206,0)),"")</f>
        <v/>
      </c>
    </row>
    <row r="36" customFormat="false" ht="15" hidden="false" customHeight="false" outlineLevel="0" collapsed="false">
      <c r="B36" s="8" t="str">
        <f aca="false">IFERROR(INDEX(Tareas!$B$7:$B$206,MATCH(23,Tareas!$O$7:$O$206,0)),"")</f>
        <v/>
      </c>
      <c r="C36" s="8" t="str">
        <f aca="false">IFERROR(INDEX(Tareas!$C$7:$C$206,MATCH(23,Tareas!$O$7:$O$206,0)),"")</f>
        <v/>
      </c>
      <c r="D36" s="8" t="str">
        <f aca="false">IFERROR(INDEX(Tareas!$D$7:$D$206,MATCH(23,Tareas!$O$7:$O$206,0)),"")</f>
        <v/>
      </c>
      <c r="E36" s="23" t="str">
        <f aca="false">IFERROR(INDEX(Tareas!$I$7:$I$206,MATCH(23,Tareas!$O$7:$O$206,0)),"")</f>
        <v/>
      </c>
      <c r="F36" s="29" t="str">
        <f aca="false">IFERROR(INDEX(Tareas!$K$7:$K$206,MATCH(23,Tareas!$O$7:$O$206,0)),"")</f>
        <v/>
      </c>
    </row>
    <row r="37" customFormat="false" ht="15" hidden="false" customHeight="false" outlineLevel="0" collapsed="false">
      <c r="B37" s="24" t="str">
        <f aca="false">IFERROR(INDEX(Tareas!$B$7:$B$206,MATCH(24,Tareas!$O$7:$O$206,0)),"")</f>
        <v/>
      </c>
      <c r="C37" s="24" t="str">
        <f aca="false">IFERROR(INDEX(Tareas!$C$7:$C$206,MATCH(24,Tareas!$O$7:$O$206,0)),"")</f>
        <v/>
      </c>
      <c r="D37" s="24" t="str">
        <f aca="false">IFERROR(INDEX(Tareas!$D$7:$D$206,MATCH(24,Tareas!$O$7:$O$206,0)),"")</f>
        <v/>
      </c>
      <c r="E37" s="25" t="str">
        <f aca="false">IFERROR(INDEX(Tareas!$I$7:$I$206,MATCH(24,Tareas!$O$7:$O$206,0)),"")</f>
        <v/>
      </c>
      <c r="F37" s="31" t="str">
        <f aca="false">IFERROR(INDEX(Tareas!$K$7:$K$206,MATCH(24,Tareas!$O$7:$O$206,0)),"")</f>
        <v/>
      </c>
    </row>
    <row r="38" customFormat="false" ht="15" hidden="false" customHeight="false" outlineLevel="0" collapsed="false">
      <c r="B38" s="8" t="str">
        <f aca="false">IFERROR(INDEX(Tareas!$B$7:$B$206,MATCH(25,Tareas!$O$7:$O$206,0)),"")</f>
        <v/>
      </c>
      <c r="C38" s="8" t="str">
        <f aca="false">IFERROR(INDEX(Tareas!$C$7:$C$206,MATCH(25,Tareas!$O$7:$O$206,0)),"")</f>
        <v/>
      </c>
      <c r="D38" s="8" t="str">
        <f aca="false">IFERROR(INDEX(Tareas!$D$7:$D$206,MATCH(25,Tareas!$O$7:$O$206,0)),"")</f>
        <v/>
      </c>
      <c r="E38" s="23" t="str">
        <f aca="false">IFERROR(INDEX(Tareas!$I$7:$I$206,MATCH(25,Tareas!$O$7:$O$206,0)),"")</f>
        <v/>
      </c>
      <c r="F38" s="29" t="str">
        <f aca="false">IFERROR(INDEX(Tareas!$K$7:$K$206,MATCH(25,Tareas!$O$7:$O$206,0)),"")</f>
        <v/>
      </c>
    </row>
    <row r="40" customFormat="false" ht="15" hidden="false" customHeight="false" outlineLevel="0" collapsed="false">
      <c r="B40" s="36" t="s">
        <v>103</v>
      </c>
    </row>
    <row r="42" customFormat="false" ht="18" hidden="false" customHeight="true" outlineLevel="0" collapsed="false">
      <c r="B42" s="11" t="s">
        <v>3</v>
      </c>
      <c r="C42" s="11"/>
      <c r="D42" s="11"/>
      <c r="E42" s="11"/>
      <c r="F42" s="11"/>
    </row>
  </sheetData>
  <mergeCells count="9">
    <mergeCell ref="A1:G1"/>
    <mergeCell ref="A2:G2"/>
    <mergeCell ref="A3:G3"/>
    <mergeCell ref="B6:F6"/>
    <mergeCell ref="B7:E7"/>
    <mergeCell ref="B8:E8"/>
    <mergeCell ref="B9:E9"/>
    <mergeCell ref="B12:F12"/>
    <mergeCell ref="B42:F42"/>
  </mergeCells>
  <conditionalFormatting sqref="F14:F38">
    <cfRule type="cellIs" priority="2" operator="equal" aboveAverage="0" equalAverage="0" bottom="0" percent="0" rank="0" text="" dxfId="11">
      <formula>"Vencida"</formula>
    </cfRule>
    <cfRule type="cellIs" priority="3" operator="equal" aboveAverage="0" equalAverage="0" bottom="0" percent="0" rank="0" text="" dxfId="12">
      <formula>"Hoy"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24"/>
    <col collapsed="false" customWidth="true" hidden="false" outlineLevel="0" max="9" min="9" style="0" width="4"/>
  </cols>
  <sheetData>
    <row r="1" customFormat="false" ht="25.5" hidden="false" customHeight="true" outlineLevel="0" collapsed="false">
      <c r="A1" s="12" t="s">
        <v>104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105</v>
      </c>
      <c r="B2" s="13"/>
      <c r="C2" s="13"/>
      <c r="D2" s="13"/>
      <c r="E2" s="13"/>
      <c r="F2" s="13"/>
      <c r="G2" s="13"/>
      <c r="H2" s="13"/>
      <c r="I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  <c r="H3" s="14"/>
      <c r="I3" s="14"/>
    </row>
    <row r="4" customFormat="false" ht="7.5" hidden="false" customHeight="true" outlineLevel="0" collapsed="false"/>
    <row r="5" customFormat="false" ht="15" hidden="false" customHeight="false" outlineLevel="0" collapsed="false">
      <c r="B5" s="37" t="s">
        <v>106</v>
      </c>
      <c r="C5" s="38" t="n">
        <v>46230</v>
      </c>
    </row>
    <row r="7" customFormat="false" ht="19.5" hidden="false" customHeight="true" outlineLevel="0" collapsed="false">
      <c r="B7" s="22" t="s">
        <v>107</v>
      </c>
      <c r="C7" s="22" t="s">
        <v>108</v>
      </c>
      <c r="D7" s="22" t="s">
        <v>109</v>
      </c>
      <c r="E7" s="22" t="s">
        <v>110</v>
      </c>
      <c r="F7" s="22" t="s">
        <v>111</v>
      </c>
      <c r="G7" s="22" t="s">
        <v>112</v>
      </c>
      <c r="H7" s="22" t="s">
        <v>113</v>
      </c>
    </row>
    <row r="8" customFormat="false" ht="15.75" hidden="false" customHeight="true" outlineLevel="0" collapsed="false">
      <c r="B8" s="39" t="n">
        <f aca="false">$C$5+0</f>
        <v>46230</v>
      </c>
      <c r="C8" s="39" t="n">
        <f aca="false">$C$5+1</f>
        <v>46231</v>
      </c>
      <c r="D8" s="39" t="n">
        <f aca="false">$C$5+2</f>
        <v>46232</v>
      </c>
      <c r="E8" s="39" t="n">
        <f aca="false">$C$5+3</f>
        <v>46233</v>
      </c>
      <c r="F8" s="39" t="n">
        <f aca="false">$C$5+4</f>
        <v>46234</v>
      </c>
      <c r="G8" s="39" t="n">
        <f aca="false">$C$5+5</f>
        <v>46235</v>
      </c>
      <c r="H8" s="39" t="n">
        <f aca="false">$C$5+6</f>
        <v>46236</v>
      </c>
    </row>
    <row r="9" customFormat="false" ht="25.5" hidden="false" customHeight="true" outlineLevel="0" collapsed="false">
      <c r="B9" s="40" t="str">
        <f aca="false">IFERROR(INDEX(Tareas!$B$7:$B$206,MATCH(TEXT(B$8,"yyyymmdd")&amp;"-"&amp;1,Tareas!$P$7:$P$206,0)),"")</f>
        <v/>
      </c>
      <c r="C9" s="40" t="str">
        <f aca="false">IFERROR(INDEX(Tareas!$B$7:$B$206,MATCH(TEXT(C$8,"yyyymmdd")&amp;"-"&amp;1,Tareas!$P$7:$P$206,0)),"")</f>
        <v/>
      </c>
      <c r="D9" s="40" t="str">
        <f aca="false">IFERROR(INDEX(Tareas!$B$7:$B$206,MATCH(TEXT(D$8,"yyyymmdd")&amp;"-"&amp;1,Tareas!$P$7:$P$206,0)),"")</f>
        <v/>
      </c>
      <c r="E9" s="40" t="str">
        <f aca="false">IFERROR(INDEX(Tareas!$B$7:$B$206,MATCH(TEXT(E$8,"yyyymmdd")&amp;"-"&amp;1,Tareas!$P$7:$P$206,0)),"")</f>
        <v>Llamar al proveedor por la cotización pendiente</v>
      </c>
      <c r="F9" s="40" t="str">
        <f aca="false">IFERROR(INDEX(Tareas!$B$7:$B$206,MATCH(TEXT(F$8,"yyyymmdd")&amp;"-"&amp;1,Tareas!$P$7:$P$206,0)),"")</f>
        <v/>
      </c>
      <c r="G9" s="40" t="str">
        <f aca="false">IFERROR(INDEX(Tareas!$B$7:$B$206,MATCH(TEXT(G$8,"yyyymmdd")&amp;"-"&amp;1,Tareas!$P$7:$P$206,0)),"")</f>
        <v/>
      </c>
      <c r="H9" s="40" t="str">
        <f aca="false">IFERROR(INDEX(Tareas!$B$7:$B$206,MATCH(TEXT(H$8,"yyyymmdd")&amp;"-"&amp;1,Tareas!$P$7:$P$206,0)),"")</f>
        <v>Redactar propuesta comercial para cliente nuevo</v>
      </c>
    </row>
    <row r="10" customFormat="false" ht="25.5" hidden="false" customHeight="true" outlineLevel="0" collapsed="false">
      <c r="B10" s="41" t="str">
        <f aca="false">IFERROR(INDEX(Tareas!$B$7:$B$206,MATCH(TEXT(B$8,"yyyymmdd")&amp;"-"&amp;2,Tareas!$P$7:$P$206,0)),"")</f>
        <v/>
      </c>
      <c r="C10" s="41" t="str">
        <f aca="false">IFERROR(INDEX(Tareas!$B$7:$B$206,MATCH(TEXT(C$8,"yyyymmdd")&amp;"-"&amp;2,Tareas!$P$7:$P$206,0)),"")</f>
        <v/>
      </c>
      <c r="D10" s="41" t="str">
        <f aca="false">IFERROR(INDEX(Tareas!$B$7:$B$206,MATCH(TEXT(D$8,"yyyymmdd")&amp;"-"&amp;2,Tareas!$P$7:$P$206,0)),"")</f>
        <v/>
      </c>
      <c r="E10" s="41" t="str">
        <f aca="false">IFERROR(INDEX(Tareas!$B$7:$B$206,MATCH(TEXT(E$8,"yyyymmdd")&amp;"-"&amp;2,Tareas!$P$7:$P$206,0)),"")</f>
        <v/>
      </c>
      <c r="F10" s="41" t="str">
        <f aca="false">IFERROR(INDEX(Tareas!$B$7:$B$206,MATCH(TEXT(F$8,"yyyymmdd")&amp;"-"&amp;2,Tareas!$P$7:$P$206,0)),"")</f>
        <v/>
      </c>
      <c r="G10" s="41" t="str">
        <f aca="false">IFERROR(INDEX(Tareas!$B$7:$B$206,MATCH(TEXT(G$8,"yyyymmdd")&amp;"-"&amp;2,Tareas!$P$7:$P$206,0)),"")</f>
        <v/>
      </c>
      <c r="H10" s="41" t="str">
        <f aca="false">IFERROR(INDEX(Tareas!$B$7:$B$206,MATCH(TEXT(H$8,"yyyymmdd")&amp;"-"&amp;2,Tareas!$P$7:$P$206,0)),"")</f>
        <v/>
      </c>
    </row>
    <row r="11" customFormat="false" ht="25.5" hidden="false" customHeight="true" outlineLevel="0" collapsed="false">
      <c r="B11" s="40" t="str">
        <f aca="false">IFERROR(INDEX(Tareas!$B$7:$B$206,MATCH(TEXT(B$8,"yyyymmdd")&amp;"-"&amp;3,Tareas!$P$7:$P$206,0)),"")</f>
        <v/>
      </c>
      <c r="C11" s="40" t="str">
        <f aca="false">IFERROR(INDEX(Tareas!$B$7:$B$206,MATCH(TEXT(C$8,"yyyymmdd")&amp;"-"&amp;3,Tareas!$P$7:$P$206,0)),"")</f>
        <v/>
      </c>
      <c r="D11" s="40" t="str">
        <f aca="false">IFERROR(INDEX(Tareas!$B$7:$B$206,MATCH(TEXT(D$8,"yyyymmdd")&amp;"-"&amp;3,Tareas!$P$7:$P$206,0)),"")</f>
        <v/>
      </c>
      <c r="E11" s="40" t="str">
        <f aca="false">IFERROR(INDEX(Tareas!$B$7:$B$206,MATCH(TEXT(E$8,"yyyymmdd")&amp;"-"&amp;3,Tareas!$P$7:$P$206,0)),"")</f>
        <v/>
      </c>
      <c r="F11" s="40" t="str">
        <f aca="false">IFERROR(INDEX(Tareas!$B$7:$B$206,MATCH(TEXT(F$8,"yyyymmdd")&amp;"-"&amp;3,Tareas!$P$7:$P$206,0)),"")</f>
        <v/>
      </c>
      <c r="G11" s="40" t="str">
        <f aca="false">IFERROR(INDEX(Tareas!$B$7:$B$206,MATCH(TEXT(G$8,"yyyymmdd")&amp;"-"&amp;3,Tareas!$P$7:$P$206,0)),"")</f>
        <v/>
      </c>
      <c r="H11" s="40" t="str">
        <f aca="false">IFERROR(INDEX(Tareas!$B$7:$B$206,MATCH(TEXT(H$8,"yyyymmdd")&amp;"-"&amp;3,Tareas!$P$7:$P$206,0)),"")</f>
        <v/>
      </c>
    </row>
    <row r="12" customFormat="false" ht="25.5" hidden="false" customHeight="true" outlineLevel="0" collapsed="false">
      <c r="B12" s="41" t="str">
        <f aca="false">IFERROR(INDEX(Tareas!$B$7:$B$206,MATCH(TEXT(B$8,"yyyymmdd")&amp;"-"&amp;4,Tareas!$P$7:$P$206,0)),"")</f>
        <v/>
      </c>
      <c r="C12" s="41" t="str">
        <f aca="false">IFERROR(INDEX(Tareas!$B$7:$B$206,MATCH(TEXT(C$8,"yyyymmdd")&amp;"-"&amp;4,Tareas!$P$7:$P$206,0)),"")</f>
        <v/>
      </c>
      <c r="D12" s="41" t="str">
        <f aca="false">IFERROR(INDEX(Tareas!$B$7:$B$206,MATCH(TEXT(D$8,"yyyymmdd")&amp;"-"&amp;4,Tareas!$P$7:$P$206,0)),"")</f>
        <v/>
      </c>
      <c r="E12" s="41" t="str">
        <f aca="false">IFERROR(INDEX(Tareas!$B$7:$B$206,MATCH(TEXT(E$8,"yyyymmdd")&amp;"-"&amp;4,Tareas!$P$7:$P$206,0)),"")</f>
        <v/>
      </c>
      <c r="F12" s="41" t="str">
        <f aca="false">IFERROR(INDEX(Tareas!$B$7:$B$206,MATCH(TEXT(F$8,"yyyymmdd")&amp;"-"&amp;4,Tareas!$P$7:$P$206,0)),"")</f>
        <v/>
      </c>
      <c r="G12" s="41" t="str">
        <f aca="false">IFERROR(INDEX(Tareas!$B$7:$B$206,MATCH(TEXT(G$8,"yyyymmdd")&amp;"-"&amp;4,Tareas!$P$7:$P$206,0)),"")</f>
        <v/>
      </c>
      <c r="H12" s="41" t="str">
        <f aca="false">IFERROR(INDEX(Tareas!$B$7:$B$206,MATCH(TEXT(H$8,"yyyymmdd")&amp;"-"&amp;4,Tareas!$P$7:$P$206,0)),"")</f>
        <v/>
      </c>
    </row>
    <row r="13" customFormat="false" ht="25.5" hidden="false" customHeight="true" outlineLevel="0" collapsed="false">
      <c r="B13" s="40" t="str">
        <f aca="false">IFERROR(INDEX(Tareas!$B$7:$B$206,MATCH(TEXT(B$8,"yyyymmdd")&amp;"-"&amp;5,Tareas!$P$7:$P$206,0)),"")</f>
        <v/>
      </c>
      <c r="C13" s="40" t="str">
        <f aca="false">IFERROR(INDEX(Tareas!$B$7:$B$206,MATCH(TEXT(C$8,"yyyymmdd")&amp;"-"&amp;5,Tareas!$P$7:$P$206,0)),"")</f>
        <v/>
      </c>
      <c r="D13" s="40" t="str">
        <f aca="false">IFERROR(INDEX(Tareas!$B$7:$B$206,MATCH(TEXT(D$8,"yyyymmdd")&amp;"-"&amp;5,Tareas!$P$7:$P$206,0)),"")</f>
        <v/>
      </c>
      <c r="E13" s="40" t="str">
        <f aca="false">IFERROR(INDEX(Tareas!$B$7:$B$206,MATCH(TEXT(E$8,"yyyymmdd")&amp;"-"&amp;5,Tareas!$P$7:$P$206,0)),"")</f>
        <v/>
      </c>
      <c r="F13" s="40" t="str">
        <f aca="false">IFERROR(INDEX(Tareas!$B$7:$B$206,MATCH(TEXT(F$8,"yyyymmdd")&amp;"-"&amp;5,Tareas!$P$7:$P$206,0)),"")</f>
        <v/>
      </c>
      <c r="G13" s="40" t="str">
        <f aca="false">IFERROR(INDEX(Tareas!$B$7:$B$206,MATCH(TEXT(G$8,"yyyymmdd")&amp;"-"&amp;5,Tareas!$P$7:$P$206,0)),"")</f>
        <v/>
      </c>
      <c r="H13" s="40" t="str">
        <f aca="false">IFERROR(INDEX(Tareas!$B$7:$B$206,MATCH(TEXT(H$8,"yyyymmdd")&amp;"-"&amp;5,Tareas!$P$7:$P$206,0)),"")</f>
        <v/>
      </c>
    </row>
    <row r="14" customFormat="false" ht="25.5" hidden="false" customHeight="true" outlineLevel="0" collapsed="false">
      <c r="B14" s="41" t="str">
        <f aca="false">IFERROR(INDEX(Tareas!$B$7:$B$206,MATCH(TEXT(B$8,"yyyymmdd")&amp;"-"&amp;6,Tareas!$P$7:$P$206,0)),"")</f>
        <v/>
      </c>
      <c r="C14" s="41" t="str">
        <f aca="false">IFERROR(INDEX(Tareas!$B$7:$B$206,MATCH(TEXT(C$8,"yyyymmdd")&amp;"-"&amp;6,Tareas!$P$7:$P$206,0)),"")</f>
        <v/>
      </c>
      <c r="D14" s="41" t="str">
        <f aca="false">IFERROR(INDEX(Tareas!$B$7:$B$206,MATCH(TEXT(D$8,"yyyymmdd")&amp;"-"&amp;6,Tareas!$P$7:$P$206,0)),"")</f>
        <v/>
      </c>
      <c r="E14" s="41" t="str">
        <f aca="false">IFERROR(INDEX(Tareas!$B$7:$B$206,MATCH(TEXT(E$8,"yyyymmdd")&amp;"-"&amp;6,Tareas!$P$7:$P$206,0)),"")</f>
        <v/>
      </c>
      <c r="F14" s="41" t="str">
        <f aca="false">IFERROR(INDEX(Tareas!$B$7:$B$206,MATCH(TEXT(F$8,"yyyymmdd")&amp;"-"&amp;6,Tareas!$P$7:$P$206,0)),"")</f>
        <v/>
      </c>
      <c r="G14" s="41" t="str">
        <f aca="false">IFERROR(INDEX(Tareas!$B$7:$B$206,MATCH(TEXT(G$8,"yyyymmdd")&amp;"-"&amp;6,Tareas!$P$7:$P$206,0)),"")</f>
        <v/>
      </c>
      <c r="H14" s="41" t="str">
        <f aca="false">IFERROR(INDEX(Tareas!$B$7:$B$206,MATCH(TEXT(H$8,"yyyymmdd")&amp;"-"&amp;6,Tareas!$P$7:$P$206,0)),"")</f>
        <v/>
      </c>
    </row>
    <row r="15" customFormat="false" ht="25.5" hidden="false" customHeight="true" outlineLevel="0" collapsed="false">
      <c r="B15" s="40" t="str">
        <f aca="false">IFERROR(INDEX(Tareas!$B$7:$B$206,MATCH(TEXT(B$8,"yyyymmdd")&amp;"-"&amp;7,Tareas!$P$7:$P$206,0)),"")</f>
        <v/>
      </c>
      <c r="C15" s="40" t="str">
        <f aca="false">IFERROR(INDEX(Tareas!$B$7:$B$206,MATCH(TEXT(C$8,"yyyymmdd")&amp;"-"&amp;7,Tareas!$P$7:$P$206,0)),"")</f>
        <v/>
      </c>
      <c r="D15" s="40" t="str">
        <f aca="false">IFERROR(INDEX(Tareas!$B$7:$B$206,MATCH(TEXT(D$8,"yyyymmdd")&amp;"-"&amp;7,Tareas!$P$7:$P$206,0)),"")</f>
        <v/>
      </c>
      <c r="E15" s="40" t="str">
        <f aca="false">IFERROR(INDEX(Tareas!$B$7:$B$206,MATCH(TEXT(E$8,"yyyymmdd")&amp;"-"&amp;7,Tareas!$P$7:$P$206,0)),"")</f>
        <v/>
      </c>
      <c r="F15" s="40" t="str">
        <f aca="false">IFERROR(INDEX(Tareas!$B$7:$B$206,MATCH(TEXT(F$8,"yyyymmdd")&amp;"-"&amp;7,Tareas!$P$7:$P$206,0)),"")</f>
        <v/>
      </c>
      <c r="G15" s="40" t="str">
        <f aca="false">IFERROR(INDEX(Tareas!$B$7:$B$206,MATCH(TEXT(G$8,"yyyymmdd")&amp;"-"&amp;7,Tareas!$P$7:$P$206,0)),"")</f>
        <v/>
      </c>
      <c r="H15" s="40" t="str">
        <f aca="false">IFERROR(INDEX(Tareas!$B$7:$B$206,MATCH(TEXT(H$8,"yyyymmdd")&amp;"-"&amp;7,Tareas!$P$7:$P$206,0)),"")</f>
        <v/>
      </c>
    </row>
    <row r="16" customFormat="false" ht="25.5" hidden="false" customHeight="true" outlineLevel="0" collapsed="false">
      <c r="B16" s="41" t="str">
        <f aca="false">IFERROR(INDEX(Tareas!$B$7:$B$206,MATCH(TEXT(B$8,"yyyymmdd")&amp;"-"&amp;8,Tareas!$P$7:$P$206,0)),"")</f>
        <v/>
      </c>
      <c r="C16" s="41" t="str">
        <f aca="false">IFERROR(INDEX(Tareas!$B$7:$B$206,MATCH(TEXT(C$8,"yyyymmdd")&amp;"-"&amp;8,Tareas!$P$7:$P$206,0)),"")</f>
        <v/>
      </c>
      <c r="D16" s="41" t="str">
        <f aca="false">IFERROR(INDEX(Tareas!$B$7:$B$206,MATCH(TEXT(D$8,"yyyymmdd")&amp;"-"&amp;8,Tareas!$P$7:$P$206,0)),"")</f>
        <v/>
      </c>
      <c r="E16" s="41" t="str">
        <f aca="false">IFERROR(INDEX(Tareas!$B$7:$B$206,MATCH(TEXT(E$8,"yyyymmdd")&amp;"-"&amp;8,Tareas!$P$7:$P$206,0)),"")</f>
        <v/>
      </c>
      <c r="F16" s="41" t="str">
        <f aca="false">IFERROR(INDEX(Tareas!$B$7:$B$206,MATCH(TEXT(F$8,"yyyymmdd")&amp;"-"&amp;8,Tareas!$P$7:$P$206,0)),"")</f>
        <v/>
      </c>
      <c r="G16" s="41" t="str">
        <f aca="false">IFERROR(INDEX(Tareas!$B$7:$B$206,MATCH(TEXT(G$8,"yyyymmdd")&amp;"-"&amp;8,Tareas!$P$7:$P$206,0)),"")</f>
        <v/>
      </c>
      <c r="H16" s="41" t="str">
        <f aca="false">IFERROR(INDEX(Tareas!$B$7:$B$206,MATCH(TEXT(H$8,"yyyymmdd")&amp;"-"&amp;8,Tareas!$P$7:$P$206,0)),"")</f>
        <v/>
      </c>
    </row>
    <row r="17" customFormat="false" ht="25.5" hidden="false" customHeight="true" outlineLevel="0" collapsed="false">
      <c r="B17" s="40" t="str">
        <f aca="false">IFERROR(INDEX(Tareas!$B$7:$B$206,MATCH(TEXT(B$8,"yyyymmdd")&amp;"-"&amp;9,Tareas!$P$7:$P$206,0)),"")</f>
        <v/>
      </c>
      <c r="C17" s="40" t="str">
        <f aca="false">IFERROR(INDEX(Tareas!$B$7:$B$206,MATCH(TEXT(C$8,"yyyymmdd")&amp;"-"&amp;9,Tareas!$P$7:$P$206,0)),"")</f>
        <v/>
      </c>
      <c r="D17" s="40" t="str">
        <f aca="false">IFERROR(INDEX(Tareas!$B$7:$B$206,MATCH(TEXT(D$8,"yyyymmdd")&amp;"-"&amp;9,Tareas!$P$7:$P$206,0)),"")</f>
        <v/>
      </c>
      <c r="E17" s="40" t="str">
        <f aca="false">IFERROR(INDEX(Tareas!$B$7:$B$206,MATCH(TEXT(E$8,"yyyymmdd")&amp;"-"&amp;9,Tareas!$P$7:$P$206,0)),"")</f>
        <v/>
      </c>
      <c r="F17" s="40" t="str">
        <f aca="false">IFERROR(INDEX(Tareas!$B$7:$B$206,MATCH(TEXT(F$8,"yyyymmdd")&amp;"-"&amp;9,Tareas!$P$7:$P$206,0)),"")</f>
        <v/>
      </c>
      <c r="G17" s="40" t="str">
        <f aca="false">IFERROR(INDEX(Tareas!$B$7:$B$206,MATCH(TEXT(G$8,"yyyymmdd")&amp;"-"&amp;9,Tareas!$P$7:$P$206,0)),"")</f>
        <v/>
      </c>
      <c r="H17" s="40" t="str">
        <f aca="false">IFERROR(INDEX(Tareas!$B$7:$B$206,MATCH(TEXT(H$8,"yyyymmdd")&amp;"-"&amp;9,Tareas!$P$7:$P$206,0)),"")</f>
        <v/>
      </c>
    </row>
    <row r="18" customFormat="false" ht="25.5" hidden="false" customHeight="true" outlineLevel="0" collapsed="false">
      <c r="B18" s="41" t="str">
        <f aca="false">IFERROR(INDEX(Tareas!$B$7:$B$206,MATCH(TEXT(B$8,"yyyymmdd")&amp;"-"&amp;10,Tareas!$P$7:$P$206,0)),"")</f>
        <v/>
      </c>
      <c r="C18" s="41" t="str">
        <f aca="false">IFERROR(INDEX(Tareas!$B$7:$B$206,MATCH(TEXT(C$8,"yyyymmdd")&amp;"-"&amp;10,Tareas!$P$7:$P$206,0)),"")</f>
        <v/>
      </c>
      <c r="D18" s="41" t="str">
        <f aca="false">IFERROR(INDEX(Tareas!$B$7:$B$206,MATCH(TEXT(D$8,"yyyymmdd")&amp;"-"&amp;10,Tareas!$P$7:$P$206,0)),"")</f>
        <v/>
      </c>
      <c r="E18" s="41" t="str">
        <f aca="false">IFERROR(INDEX(Tareas!$B$7:$B$206,MATCH(TEXT(E$8,"yyyymmdd")&amp;"-"&amp;10,Tareas!$P$7:$P$206,0)),"")</f>
        <v/>
      </c>
      <c r="F18" s="41" t="str">
        <f aca="false">IFERROR(INDEX(Tareas!$B$7:$B$206,MATCH(TEXT(F$8,"yyyymmdd")&amp;"-"&amp;10,Tareas!$P$7:$P$206,0)),"")</f>
        <v/>
      </c>
      <c r="G18" s="41" t="str">
        <f aca="false">IFERROR(INDEX(Tareas!$B$7:$B$206,MATCH(TEXT(G$8,"yyyymmdd")&amp;"-"&amp;10,Tareas!$P$7:$P$206,0)),"")</f>
        <v/>
      </c>
      <c r="H18" s="41" t="str">
        <f aca="false">IFERROR(INDEX(Tareas!$B$7:$B$206,MATCH(TEXT(H$8,"yyyymmdd")&amp;"-"&amp;10,Tareas!$P$7:$P$206,0)),"")</f>
        <v/>
      </c>
    </row>
    <row r="19" customFormat="false" ht="25.5" hidden="false" customHeight="true" outlineLevel="0" collapsed="false">
      <c r="B19" s="40" t="str">
        <f aca="false">IFERROR(INDEX(Tareas!$B$7:$B$206,MATCH(TEXT(B$8,"yyyymmdd")&amp;"-"&amp;11,Tareas!$P$7:$P$206,0)),"")</f>
        <v/>
      </c>
      <c r="C19" s="40" t="str">
        <f aca="false">IFERROR(INDEX(Tareas!$B$7:$B$206,MATCH(TEXT(C$8,"yyyymmdd")&amp;"-"&amp;11,Tareas!$P$7:$P$206,0)),"")</f>
        <v/>
      </c>
      <c r="D19" s="40" t="str">
        <f aca="false">IFERROR(INDEX(Tareas!$B$7:$B$206,MATCH(TEXT(D$8,"yyyymmdd")&amp;"-"&amp;11,Tareas!$P$7:$P$206,0)),"")</f>
        <v/>
      </c>
      <c r="E19" s="40" t="str">
        <f aca="false">IFERROR(INDEX(Tareas!$B$7:$B$206,MATCH(TEXT(E$8,"yyyymmdd")&amp;"-"&amp;11,Tareas!$P$7:$P$206,0)),"")</f>
        <v/>
      </c>
      <c r="F19" s="40" t="str">
        <f aca="false">IFERROR(INDEX(Tareas!$B$7:$B$206,MATCH(TEXT(F$8,"yyyymmdd")&amp;"-"&amp;11,Tareas!$P$7:$P$206,0)),"")</f>
        <v/>
      </c>
      <c r="G19" s="40" t="str">
        <f aca="false">IFERROR(INDEX(Tareas!$B$7:$B$206,MATCH(TEXT(G$8,"yyyymmdd")&amp;"-"&amp;11,Tareas!$P$7:$P$206,0)),"")</f>
        <v/>
      </c>
      <c r="H19" s="40" t="str">
        <f aca="false">IFERROR(INDEX(Tareas!$B$7:$B$206,MATCH(TEXT(H$8,"yyyymmdd")&amp;"-"&amp;11,Tareas!$P$7:$P$206,0)),"")</f>
        <v/>
      </c>
    </row>
    <row r="20" customFormat="false" ht="25.5" hidden="false" customHeight="true" outlineLevel="0" collapsed="false">
      <c r="B20" s="41" t="str">
        <f aca="false">IFERROR(INDEX(Tareas!$B$7:$B$206,MATCH(TEXT(B$8,"yyyymmdd")&amp;"-"&amp;12,Tareas!$P$7:$P$206,0)),"")</f>
        <v/>
      </c>
      <c r="C20" s="41" t="str">
        <f aca="false">IFERROR(INDEX(Tareas!$B$7:$B$206,MATCH(TEXT(C$8,"yyyymmdd")&amp;"-"&amp;12,Tareas!$P$7:$P$206,0)),"")</f>
        <v/>
      </c>
      <c r="D20" s="41" t="str">
        <f aca="false">IFERROR(INDEX(Tareas!$B$7:$B$206,MATCH(TEXT(D$8,"yyyymmdd")&amp;"-"&amp;12,Tareas!$P$7:$P$206,0)),"")</f>
        <v/>
      </c>
      <c r="E20" s="41" t="str">
        <f aca="false">IFERROR(INDEX(Tareas!$B$7:$B$206,MATCH(TEXT(E$8,"yyyymmdd")&amp;"-"&amp;12,Tareas!$P$7:$P$206,0)),"")</f>
        <v/>
      </c>
      <c r="F20" s="41" t="str">
        <f aca="false">IFERROR(INDEX(Tareas!$B$7:$B$206,MATCH(TEXT(F$8,"yyyymmdd")&amp;"-"&amp;12,Tareas!$P$7:$P$206,0)),"")</f>
        <v/>
      </c>
      <c r="G20" s="41" t="str">
        <f aca="false">IFERROR(INDEX(Tareas!$B$7:$B$206,MATCH(TEXT(G$8,"yyyymmdd")&amp;"-"&amp;12,Tareas!$P$7:$P$206,0)),"")</f>
        <v/>
      </c>
      <c r="H20" s="41" t="str">
        <f aca="false">IFERROR(INDEX(Tareas!$B$7:$B$206,MATCH(TEXT(H$8,"yyyymmdd")&amp;"-"&amp;12,Tareas!$P$7:$P$206,0)),"")</f>
        <v/>
      </c>
    </row>
    <row r="22" customFormat="false" ht="15" hidden="false" customHeight="false" outlineLevel="0" collapsed="false">
      <c r="B22" s="36" t="s">
        <v>114</v>
      </c>
    </row>
    <row r="24" customFormat="false" ht="18" hidden="false" customHeight="true" outlineLevel="0" collapsed="false">
      <c r="B24" s="11" t="s">
        <v>3</v>
      </c>
      <c r="C24" s="11"/>
      <c r="D24" s="11"/>
      <c r="E24" s="11"/>
      <c r="F24" s="11"/>
      <c r="G24" s="11"/>
      <c r="H24" s="11"/>
    </row>
  </sheetData>
  <mergeCells count="4">
    <mergeCell ref="A1:I1"/>
    <mergeCell ref="A2:I2"/>
    <mergeCell ref="A3:I3"/>
    <mergeCell ref="B24:H24"/>
  </mergeCells>
  <conditionalFormatting sqref="B8:B20">
    <cfRule type="expression" priority="2" aboveAverage="0" equalAverage="0" bottom="0" percent="0" rank="0" text="" dxfId="19">
      <formula>B$8=TODAY()</formula>
    </cfRule>
  </conditionalFormatting>
  <conditionalFormatting sqref="C8:C20">
    <cfRule type="expression" priority="3" aboveAverage="0" equalAverage="0" bottom="0" percent="0" rank="0" text="" dxfId="19">
      <formula>C$8=TODAY()</formula>
    </cfRule>
  </conditionalFormatting>
  <conditionalFormatting sqref="D8:D20">
    <cfRule type="expression" priority="4" aboveAverage="0" equalAverage="0" bottom="0" percent="0" rank="0" text="" dxfId="19">
      <formula>D$8=TODAY()</formula>
    </cfRule>
  </conditionalFormatting>
  <conditionalFormatting sqref="E8:E20">
    <cfRule type="expression" priority="5" aboveAverage="0" equalAverage="0" bottom="0" percent="0" rank="0" text="" dxfId="19">
      <formula>E$8=TODAY()</formula>
    </cfRule>
  </conditionalFormatting>
  <conditionalFormatting sqref="F8:F20">
    <cfRule type="expression" priority="6" aboveAverage="0" equalAverage="0" bottom="0" percent="0" rank="0" text="" dxfId="19">
      <formula>F$8=TODAY()</formula>
    </cfRule>
  </conditionalFormatting>
  <conditionalFormatting sqref="G8:G20">
    <cfRule type="expression" priority="7" aboveAverage="0" equalAverage="0" bottom="0" percent="0" rank="0" text="" dxfId="19">
      <formula>G$8=TODAY()</formula>
    </cfRule>
  </conditionalFormatting>
  <conditionalFormatting sqref="H8:H20">
    <cfRule type="expression" priority="8" aboveAverage="0" equalAverage="0" bottom="0" percent="0" rank="0" text="" dxfId="19">
      <formula>H$8=TODAY()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25.5" hidden="false" customHeight="true" outlineLevel="0" collapsed="false">
      <c r="A1" s="12" t="s">
        <v>115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116</v>
      </c>
      <c r="B2" s="13"/>
      <c r="C2" s="13"/>
      <c r="D2" s="13"/>
      <c r="E2" s="13"/>
      <c r="F2" s="13"/>
      <c r="G2" s="13"/>
      <c r="H2" s="13"/>
      <c r="I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  <c r="H3" s="14"/>
      <c r="I3" s="14"/>
    </row>
    <row r="4" customFormat="false" ht="7.5" hidden="false" customHeight="true" outlineLevel="0" collapsed="false"/>
    <row r="6" customFormat="false" ht="30" hidden="false" customHeight="true" outlineLevel="0" collapsed="false">
      <c r="A6" s="22" t="s">
        <v>117</v>
      </c>
      <c r="B6" s="22" t="s">
        <v>72</v>
      </c>
      <c r="C6" s="22" t="s">
        <v>118</v>
      </c>
      <c r="D6" s="22" t="s">
        <v>119</v>
      </c>
      <c r="E6" s="22" t="s">
        <v>120</v>
      </c>
      <c r="F6" s="22" t="s">
        <v>7</v>
      </c>
      <c r="G6" s="22" t="s">
        <v>121</v>
      </c>
      <c r="H6" s="22" t="s">
        <v>122</v>
      </c>
      <c r="I6" s="22" t="s">
        <v>50</v>
      </c>
    </row>
    <row r="7" customFormat="false" ht="22.35" hidden="false" customHeight="false" outlineLevel="0" collapsed="false">
      <c r="A7" s="23" t="n">
        <f aca="false">IF($B7="","",ROW()-6)</f>
        <v>1</v>
      </c>
      <c r="B7" s="27" t="s">
        <v>84</v>
      </c>
      <c r="C7" s="27" t="s">
        <v>123</v>
      </c>
      <c r="D7" s="27" t="s">
        <v>83</v>
      </c>
      <c r="E7" s="28" t="n">
        <v>46248</v>
      </c>
      <c r="F7" s="23" t="n">
        <f aca="false">IF($B7="","",COUNTIF(Tareas!$C$7:$C$206,$B7))</f>
        <v>1</v>
      </c>
      <c r="G7" s="23" t="n">
        <f aca="false">IF($B7="","",COUNTIFS(Tareas!$C$7:$C$206,$B7,Tareas!$I$7:$I$206,"Hecha"))</f>
        <v>0</v>
      </c>
      <c r="H7" s="42" t="n">
        <f aca="false">IF(OR($B7="",$F7=0),"",$G7/$F7)</f>
        <v>0</v>
      </c>
      <c r="I7" s="29" t="str">
        <f aca="false">IF($B7="","",IF($F7=0,"Sin tareas",IF($H7=1,"Completo",IF($D7="","Sin siguiente acción","Activo"))))</f>
        <v>Activo</v>
      </c>
    </row>
    <row r="8" customFormat="false" ht="15" hidden="false" customHeight="false" outlineLevel="0" collapsed="false">
      <c r="A8" s="25" t="str">
        <f aca="false">IF($B8="","",ROW()-6)</f>
        <v/>
      </c>
      <c r="B8" s="27"/>
      <c r="C8" s="27"/>
      <c r="D8" s="27"/>
      <c r="E8" s="28"/>
      <c r="F8" s="25" t="str">
        <f aca="false">IF($B8="","",COUNTIF(Tareas!$C$7:$C$206,$B8))</f>
        <v/>
      </c>
      <c r="G8" s="25" t="str">
        <f aca="false">IF($B8="","",COUNTIFS(Tareas!$C$7:$C$206,$B8,Tareas!$I$7:$I$206,"Hecha"))</f>
        <v/>
      </c>
      <c r="H8" s="43" t="str">
        <f aca="false">IF(OR($B8="",$F8=0),"",$G8/$F8)</f>
        <v/>
      </c>
      <c r="I8" s="31" t="str">
        <f aca="false">IF($B8="","",IF($F8=0,"Sin tareas",IF($H8=1,"Completo",IF($D8="","Sin siguiente acción","Activo"))))</f>
        <v/>
      </c>
    </row>
    <row r="9" customFormat="false" ht="15" hidden="false" customHeight="false" outlineLevel="0" collapsed="false">
      <c r="A9" s="23" t="str">
        <f aca="false">IF($B9="","",ROW()-6)</f>
        <v/>
      </c>
      <c r="B9" s="27"/>
      <c r="C9" s="27"/>
      <c r="D9" s="27"/>
      <c r="E9" s="28"/>
      <c r="F9" s="23" t="str">
        <f aca="false">IF($B9="","",COUNTIF(Tareas!$C$7:$C$206,$B9))</f>
        <v/>
      </c>
      <c r="G9" s="23" t="str">
        <f aca="false">IF($B9="","",COUNTIFS(Tareas!$C$7:$C$206,$B9,Tareas!$I$7:$I$206,"Hecha"))</f>
        <v/>
      </c>
      <c r="H9" s="42" t="str">
        <f aca="false">IF(OR($B9="",$F9=0),"",$G9/$F9)</f>
        <v/>
      </c>
      <c r="I9" s="29" t="str">
        <f aca="false">IF($B9="","",IF($F9=0,"Sin tareas",IF($H9=1,"Completo",IF($D9="","Sin siguiente acción","Activo"))))</f>
        <v/>
      </c>
    </row>
    <row r="10" customFormat="false" ht="15" hidden="false" customHeight="false" outlineLevel="0" collapsed="false">
      <c r="A10" s="25" t="str">
        <f aca="false">IF($B10="","",ROW()-6)</f>
        <v/>
      </c>
      <c r="B10" s="27"/>
      <c r="C10" s="27"/>
      <c r="D10" s="27"/>
      <c r="E10" s="28"/>
      <c r="F10" s="25" t="str">
        <f aca="false">IF($B10="","",COUNTIF(Tareas!$C$7:$C$206,$B10))</f>
        <v/>
      </c>
      <c r="G10" s="25" t="str">
        <f aca="false">IF($B10="","",COUNTIFS(Tareas!$C$7:$C$206,$B10,Tareas!$I$7:$I$206,"Hecha"))</f>
        <v/>
      </c>
      <c r="H10" s="43" t="str">
        <f aca="false">IF(OR($B10="",$F10=0),"",$G10/$F10)</f>
        <v/>
      </c>
      <c r="I10" s="31" t="str">
        <f aca="false">IF($B10="","",IF($F10=0,"Sin tareas",IF($H10=1,"Completo",IF($D10="","Sin siguiente acción","Activo"))))</f>
        <v/>
      </c>
    </row>
    <row r="11" customFormat="false" ht="15" hidden="false" customHeight="false" outlineLevel="0" collapsed="false">
      <c r="A11" s="23" t="str">
        <f aca="false">IF($B11="","",ROW()-6)</f>
        <v/>
      </c>
      <c r="B11" s="27"/>
      <c r="C11" s="27"/>
      <c r="D11" s="27"/>
      <c r="E11" s="28"/>
      <c r="F11" s="23" t="str">
        <f aca="false">IF($B11="","",COUNTIF(Tareas!$C$7:$C$206,$B11))</f>
        <v/>
      </c>
      <c r="G11" s="23" t="str">
        <f aca="false">IF($B11="","",COUNTIFS(Tareas!$C$7:$C$206,$B11,Tareas!$I$7:$I$206,"Hecha"))</f>
        <v/>
      </c>
      <c r="H11" s="42" t="str">
        <f aca="false">IF(OR($B11="",$F11=0),"",$G11/$F11)</f>
        <v/>
      </c>
      <c r="I11" s="29" t="str">
        <f aca="false">IF($B11="","",IF($F11=0,"Sin tareas",IF($H11=1,"Completo",IF($D11="","Sin siguiente acción","Activo"))))</f>
        <v/>
      </c>
    </row>
    <row r="12" customFormat="false" ht="15" hidden="false" customHeight="false" outlineLevel="0" collapsed="false">
      <c r="A12" s="25" t="str">
        <f aca="false">IF($B12="","",ROW()-6)</f>
        <v/>
      </c>
      <c r="B12" s="27"/>
      <c r="C12" s="27"/>
      <c r="D12" s="27"/>
      <c r="E12" s="28"/>
      <c r="F12" s="25" t="str">
        <f aca="false">IF($B12="","",COUNTIF(Tareas!$C$7:$C$206,$B12))</f>
        <v/>
      </c>
      <c r="G12" s="25" t="str">
        <f aca="false">IF($B12="","",COUNTIFS(Tareas!$C$7:$C$206,$B12,Tareas!$I$7:$I$206,"Hecha"))</f>
        <v/>
      </c>
      <c r="H12" s="43" t="str">
        <f aca="false">IF(OR($B12="",$F12=0),"",$G12/$F12)</f>
        <v/>
      </c>
      <c r="I12" s="31" t="str">
        <f aca="false">IF($B12="","",IF($F12=0,"Sin tareas",IF($H12=1,"Completo",IF($D12="","Sin siguiente acción","Activo"))))</f>
        <v/>
      </c>
    </row>
    <row r="13" customFormat="false" ht="15" hidden="false" customHeight="false" outlineLevel="0" collapsed="false">
      <c r="A13" s="23" t="str">
        <f aca="false">IF($B13="","",ROW()-6)</f>
        <v/>
      </c>
      <c r="B13" s="27"/>
      <c r="C13" s="27"/>
      <c r="D13" s="27"/>
      <c r="E13" s="28"/>
      <c r="F13" s="23" t="str">
        <f aca="false">IF($B13="","",COUNTIF(Tareas!$C$7:$C$206,$B13))</f>
        <v/>
      </c>
      <c r="G13" s="23" t="str">
        <f aca="false">IF($B13="","",COUNTIFS(Tareas!$C$7:$C$206,$B13,Tareas!$I$7:$I$206,"Hecha"))</f>
        <v/>
      </c>
      <c r="H13" s="42" t="str">
        <f aca="false">IF(OR($B13="",$F13=0),"",$G13/$F13)</f>
        <v/>
      </c>
      <c r="I13" s="29" t="str">
        <f aca="false">IF($B13="","",IF($F13=0,"Sin tareas",IF($H13=1,"Completo",IF($D13="","Sin siguiente acción","Activo"))))</f>
        <v/>
      </c>
    </row>
    <row r="14" customFormat="false" ht="15" hidden="false" customHeight="false" outlineLevel="0" collapsed="false">
      <c r="A14" s="25" t="str">
        <f aca="false">IF($B14="","",ROW()-6)</f>
        <v/>
      </c>
      <c r="B14" s="27"/>
      <c r="C14" s="27"/>
      <c r="D14" s="27"/>
      <c r="E14" s="28"/>
      <c r="F14" s="25" t="str">
        <f aca="false">IF($B14="","",COUNTIF(Tareas!$C$7:$C$206,$B14))</f>
        <v/>
      </c>
      <c r="G14" s="25" t="str">
        <f aca="false">IF($B14="","",COUNTIFS(Tareas!$C$7:$C$206,$B14,Tareas!$I$7:$I$206,"Hecha"))</f>
        <v/>
      </c>
      <c r="H14" s="43" t="str">
        <f aca="false">IF(OR($B14="",$F14=0),"",$G14/$F14)</f>
        <v/>
      </c>
      <c r="I14" s="31" t="str">
        <f aca="false">IF($B14="","",IF($F14=0,"Sin tareas",IF($H14=1,"Completo",IF($D14="","Sin siguiente acción","Activo"))))</f>
        <v/>
      </c>
    </row>
    <row r="15" customFormat="false" ht="15" hidden="false" customHeight="false" outlineLevel="0" collapsed="false">
      <c r="A15" s="23" t="str">
        <f aca="false">IF($B15="","",ROW()-6)</f>
        <v/>
      </c>
      <c r="B15" s="27"/>
      <c r="C15" s="27"/>
      <c r="D15" s="27"/>
      <c r="E15" s="28"/>
      <c r="F15" s="23" t="str">
        <f aca="false">IF($B15="","",COUNTIF(Tareas!$C$7:$C$206,$B15))</f>
        <v/>
      </c>
      <c r="G15" s="23" t="str">
        <f aca="false">IF($B15="","",COUNTIFS(Tareas!$C$7:$C$206,$B15,Tareas!$I$7:$I$206,"Hecha"))</f>
        <v/>
      </c>
      <c r="H15" s="42" t="str">
        <f aca="false">IF(OR($B15="",$F15=0),"",$G15/$F15)</f>
        <v/>
      </c>
      <c r="I15" s="29" t="str">
        <f aca="false">IF($B15="","",IF($F15=0,"Sin tareas",IF($H15=1,"Completo",IF($D15="","Sin siguiente acción","Activo"))))</f>
        <v/>
      </c>
    </row>
    <row r="16" customFormat="false" ht="15" hidden="false" customHeight="false" outlineLevel="0" collapsed="false">
      <c r="A16" s="25" t="str">
        <f aca="false">IF($B16="","",ROW()-6)</f>
        <v/>
      </c>
      <c r="B16" s="27"/>
      <c r="C16" s="27"/>
      <c r="D16" s="27"/>
      <c r="E16" s="28"/>
      <c r="F16" s="25" t="str">
        <f aca="false">IF($B16="","",COUNTIF(Tareas!$C$7:$C$206,$B16))</f>
        <v/>
      </c>
      <c r="G16" s="25" t="str">
        <f aca="false">IF($B16="","",COUNTIFS(Tareas!$C$7:$C$206,$B16,Tareas!$I$7:$I$206,"Hecha"))</f>
        <v/>
      </c>
      <c r="H16" s="43" t="str">
        <f aca="false">IF(OR($B16="",$F16=0),"",$G16/$F16)</f>
        <v/>
      </c>
      <c r="I16" s="31" t="str">
        <f aca="false">IF($B16="","",IF($F16=0,"Sin tareas",IF($H16=1,"Completo",IF($D16="","Sin siguiente acción","Activo"))))</f>
        <v/>
      </c>
    </row>
    <row r="17" customFormat="false" ht="15" hidden="false" customHeight="false" outlineLevel="0" collapsed="false">
      <c r="A17" s="23" t="str">
        <f aca="false">IF($B17="","",ROW()-6)</f>
        <v/>
      </c>
      <c r="B17" s="27"/>
      <c r="C17" s="27"/>
      <c r="D17" s="27"/>
      <c r="E17" s="28"/>
      <c r="F17" s="23" t="str">
        <f aca="false">IF($B17="","",COUNTIF(Tareas!$C$7:$C$206,$B17))</f>
        <v/>
      </c>
      <c r="G17" s="23" t="str">
        <f aca="false">IF($B17="","",COUNTIFS(Tareas!$C$7:$C$206,$B17,Tareas!$I$7:$I$206,"Hecha"))</f>
        <v/>
      </c>
      <c r="H17" s="42" t="str">
        <f aca="false">IF(OR($B17="",$F17=0),"",$G17/$F17)</f>
        <v/>
      </c>
      <c r="I17" s="29" t="str">
        <f aca="false">IF($B17="","",IF($F17=0,"Sin tareas",IF($H17=1,"Completo",IF($D17="","Sin siguiente acción","Activo"))))</f>
        <v/>
      </c>
    </row>
    <row r="18" customFormat="false" ht="15" hidden="false" customHeight="false" outlineLevel="0" collapsed="false">
      <c r="A18" s="25" t="str">
        <f aca="false">IF($B18="","",ROW()-6)</f>
        <v/>
      </c>
      <c r="B18" s="27"/>
      <c r="C18" s="27"/>
      <c r="D18" s="27"/>
      <c r="E18" s="28"/>
      <c r="F18" s="25" t="str">
        <f aca="false">IF($B18="","",COUNTIF(Tareas!$C$7:$C$206,$B18))</f>
        <v/>
      </c>
      <c r="G18" s="25" t="str">
        <f aca="false">IF($B18="","",COUNTIFS(Tareas!$C$7:$C$206,$B18,Tareas!$I$7:$I$206,"Hecha"))</f>
        <v/>
      </c>
      <c r="H18" s="43" t="str">
        <f aca="false">IF(OR($B18="",$F18=0),"",$G18/$F18)</f>
        <v/>
      </c>
      <c r="I18" s="31" t="str">
        <f aca="false">IF($B18="","",IF($F18=0,"Sin tareas",IF($H18=1,"Completo",IF($D18="","Sin siguiente acción","Activo"))))</f>
        <v/>
      </c>
    </row>
    <row r="19" customFormat="false" ht="15" hidden="false" customHeight="false" outlineLevel="0" collapsed="false">
      <c r="A19" s="23" t="str">
        <f aca="false">IF($B19="","",ROW()-6)</f>
        <v/>
      </c>
      <c r="B19" s="27"/>
      <c r="C19" s="27"/>
      <c r="D19" s="27"/>
      <c r="E19" s="28"/>
      <c r="F19" s="23" t="str">
        <f aca="false">IF($B19="","",COUNTIF(Tareas!$C$7:$C$206,$B19))</f>
        <v/>
      </c>
      <c r="G19" s="23" t="str">
        <f aca="false">IF($B19="","",COUNTIFS(Tareas!$C$7:$C$206,$B19,Tareas!$I$7:$I$206,"Hecha"))</f>
        <v/>
      </c>
      <c r="H19" s="42" t="str">
        <f aca="false">IF(OR($B19="",$F19=0),"",$G19/$F19)</f>
        <v/>
      </c>
      <c r="I19" s="29" t="str">
        <f aca="false">IF($B19="","",IF($F19=0,"Sin tareas",IF($H19=1,"Completo",IF($D19="","Sin siguiente acción","Activo"))))</f>
        <v/>
      </c>
    </row>
    <row r="20" customFormat="false" ht="15" hidden="false" customHeight="false" outlineLevel="0" collapsed="false">
      <c r="A20" s="25" t="str">
        <f aca="false">IF($B20="","",ROW()-6)</f>
        <v/>
      </c>
      <c r="B20" s="27"/>
      <c r="C20" s="27"/>
      <c r="D20" s="27"/>
      <c r="E20" s="28"/>
      <c r="F20" s="25" t="str">
        <f aca="false">IF($B20="","",COUNTIF(Tareas!$C$7:$C$206,$B20))</f>
        <v/>
      </c>
      <c r="G20" s="25" t="str">
        <f aca="false">IF($B20="","",COUNTIFS(Tareas!$C$7:$C$206,$B20,Tareas!$I$7:$I$206,"Hecha"))</f>
        <v/>
      </c>
      <c r="H20" s="43" t="str">
        <f aca="false">IF(OR($B20="",$F20=0),"",$G20/$F20)</f>
        <v/>
      </c>
      <c r="I20" s="31" t="str">
        <f aca="false">IF($B20="","",IF($F20=0,"Sin tareas",IF($H20=1,"Completo",IF($D20="","Sin siguiente acción","Activo"))))</f>
        <v/>
      </c>
    </row>
    <row r="21" customFormat="false" ht="15" hidden="false" customHeight="false" outlineLevel="0" collapsed="false">
      <c r="A21" s="23" t="str">
        <f aca="false">IF($B21="","",ROW()-6)</f>
        <v/>
      </c>
      <c r="B21" s="27"/>
      <c r="C21" s="27"/>
      <c r="D21" s="27"/>
      <c r="E21" s="28"/>
      <c r="F21" s="23" t="str">
        <f aca="false">IF($B21="","",COUNTIF(Tareas!$C$7:$C$206,$B21))</f>
        <v/>
      </c>
      <c r="G21" s="23" t="str">
        <f aca="false">IF($B21="","",COUNTIFS(Tareas!$C$7:$C$206,$B21,Tareas!$I$7:$I$206,"Hecha"))</f>
        <v/>
      </c>
      <c r="H21" s="42" t="str">
        <f aca="false">IF(OR($B21="",$F21=0),"",$G21/$F21)</f>
        <v/>
      </c>
      <c r="I21" s="29" t="str">
        <f aca="false">IF($B21="","",IF($F21=0,"Sin tareas",IF($H21=1,"Completo",IF($D21="","Sin siguiente acción","Activo"))))</f>
        <v/>
      </c>
    </row>
    <row r="22" customFormat="false" ht="15" hidden="false" customHeight="false" outlineLevel="0" collapsed="false">
      <c r="A22" s="25" t="str">
        <f aca="false">IF($B22="","",ROW()-6)</f>
        <v/>
      </c>
      <c r="B22" s="27"/>
      <c r="C22" s="27"/>
      <c r="D22" s="27"/>
      <c r="E22" s="28"/>
      <c r="F22" s="25" t="str">
        <f aca="false">IF($B22="","",COUNTIF(Tareas!$C$7:$C$206,$B22))</f>
        <v/>
      </c>
      <c r="G22" s="25" t="str">
        <f aca="false">IF($B22="","",COUNTIFS(Tareas!$C$7:$C$206,$B22,Tareas!$I$7:$I$206,"Hecha"))</f>
        <v/>
      </c>
      <c r="H22" s="43" t="str">
        <f aca="false">IF(OR($B22="",$F22=0),"",$G22/$F22)</f>
        <v/>
      </c>
      <c r="I22" s="31" t="str">
        <f aca="false">IF($B22="","",IF($F22=0,"Sin tareas",IF($H22=1,"Completo",IF($D22="","Sin siguiente acción","Activo"))))</f>
        <v/>
      </c>
    </row>
    <row r="23" customFormat="false" ht="15" hidden="false" customHeight="false" outlineLevel="0" collapsed="false">
      <c r="A23" s="23" t="str">
        <f aca="false">IF($B23="","",ROW()-6)</f>
        <v/>
      </c>
      <c r="B23" s="27"/>
      <c r="C23" s="27"/>
      <c r="D23" s="27"/>
      <c r="E23" s="28"/>
      <c r="F23" s="23" t="str">
        <f aca="false">IF($B23="","",COUNTIF(Tareas!$C$7:$C$206,$B23))</f>
        <v/>
      </c>
      <c r="G23" s="23" t="str">
        <f aca="false">IF($B23="","",COUNTIFS(Tareas!$C$7:$C$206,$B23,Tareas!$I$7:$I$206,"Hecha"))</f>
        <v/>
      </c>
      <c r="H23" s="42" t="str">
        <f aca="false">IF(OR($B23="",$F23=0),"",$G23/$F23)</f>
        <v/>
      </c>
      <c r="I23" s="29" t="str">
        <f aca="false">IF($B23="","",IF($F23=0,"Sin tareas",IF($H23=1,"Completo",IF($D23="","Sin siguiente acción","Activo"))))</f>
        <v/>
      </c>
    </row>
    <row r="24" customFormat="false" ht="15" hidden="false" customHeight="false" outlineLevel="0" collapsed="false">
      <c r="A24" s="25" t="str">
        <f aca="false">IF($B24="","",ROW()-6)</f>
        <v/>
      </c>
      <c r="B24" s="27"/>
      <c r="C24" s="27"/>
      <c r="D24" s="27"/>
      <c r="E24" s="28"/>
      <c r="F24" s="25" t="str">
        <f aca="false">IF($B24="","",COUNTIF(Tareas!$C$7:$C$206,$B24))</f>
        <v/>
      </c>
      <c r="G24" s="25" t="str">
        <f aca="false">IF($B24="","",COUNTIFS(Tareas!$C$7:$C$206,$B24,Tareas!$I$7:$I$206,"Hecha"))</f>
        <v/>
      </c>
      <c r="H24" s="43" t="str">
        <f aca="false">IF(OR($B24="",$F24=0),"",$G24/$F24)</f>
        <v/>
      </c>
      <c r="I24" s="31" t="str">
        <f aca="false">IF($B24="","",IF($F24=0,"Sin tareas",IF($H24=1,"Completo",IF($D24="","Sin siguiente acción","Activo"))))</f>
        <v/>
      </c>
    </row>
    <row r="25" customFormat="false" ht="15" hidden="false" customHeight="false" outlineLevel="0" collapsed="false">
      <c r="A25" s="23" t="str">
        <f aca="false">IF($B25="","",ROW()-6)</f>
        <v/>
      </c>
      <c r="B25" s="27"/>
      <c r="C25" s="27"/>
      <c r="D25" s="27"/>
      <c r="E25" s="28"/>
      <c r="F25" s="23" t="str">
        <f aca="false">IF($B25="","",COUNTIF(Tareas!$C$7:$C$206,$B25))</f>
        <v/>
      </c>
      <c r="G25" s="23" t="str">
        <f aca="false">IF($B25="","",COUNTIFS(Tareas!$C$7:$C$206,$B25,Tareas!$I$7:$I$206,"Hecha"))</f>
        <v/>
      </c>
      <c r="H25" s="42" t="str">
        <f aca="false">IF(OR($B25="",$F25=0),"",$G25/$F25)</f>
        <v/>
      </c>
      <c r="I25" s="29" t="str">
        <f aca="false">IF($B25="","",IF($F25=0,"Sin tareas",IF($H25=1,"Completo",IF($D25="","Sin siguiente acción","Activo"))))</f>
        <v/>
      </c>
    </row>
    <row r="26" customFormat="false" ht="15" hidden="false" customHeight="false" outlineLevel="0" collapsed="false">
      <c r="A26" s="25" t="str">
        <f aca="false">IF($B26="","",ROW()-6)</f>
        <v/>
      </c>
      <c r="B26" s="27"/>
      <c r="C26" s="27"/>
      <c r="D26" s="27"/>
      <c r="E26" s="28"/>
      <c r="F26" s="25" t="str">
        <f aca="false">IF($B26="","",COUNTIF(Tareas!$C$7:$C$206,$B26))</f>
        <v/>
      </c>
      <c r="G26" s="25" t="str">
        <f aca="false">IF($B26="","",COUNTIFS(Tareas!$C$7:$C$206,$B26,Tareas!$I$7:$I$206,"Hecha"))</f>
        <v/>
      </c>
      <c r="H26" s="43" t="str">
        <f aca="false">IF(OR($B26="",$F26=0),"",$G26/$F26)</f>
        <v/>
      </c>
      <c r="I26" s="31" t="str">
        <f aca="false">IF($B26="","",IF($F26=0,"Sin tareas",IF($H26=1,"Completo",IF($D26="","Sin siguiente acción","Activo"))))</f>
        <v/>
      </c>
    </row>
    <row r="27" customFormat="false" ht="15" hidden="false" customHeight="false" outlineLevel="0" collapsed="false">
      <c r="A27" s="23" t="str">
        <f aca="false">IF($B27="","",ROW()-6)</f>
        <v/>
      </c>
      <c r="B27" s="27"/>
      <c r="C27" s="27"/>
      <c r="D27" s="27"/>
      <c r="E27" s="28"/>
      <c r="F27" s="23" t="str">
        <f aca="false">IF($B27="","",COUNTIF(Tareas!$C$7:$C$206,$B27))</f>
        <v/>
      </c>
      <c r="G27" s="23" t="str">
        <f aca="false">IF($B27="","",COUNTIFS(Tareas!$C$7:$C$206,$B27,Tareas!$I$7:$I$206,"Hecha"))</f>
        <v/>
      </c>
      <c r="H27" s="42" t="str">
        <f aca="false">IF(OR($B27="",$F27=0),"",$G27/$F27)</f>
        <v/>
      </c>
      <c r="I27" s="29" t="str">
        <f aca="false">IF($B27="","",IF($F27=0,"Sin tareas",IF($H27=1,"Completo",IF($D27="","Sin siguiente acción","Activo"))))</f>
        <v/>
      </c>
    </row>
    <row r="28" customFormat="false" ht="15" hidden="false" customHeight="false" outlineLevel="0" collapsed="false">
      <c r="A28" s="25" t="str">
        <f aca="false">IF($B28="","",ROW()-6)</f>
        <v/>
      </c>
      <c r="B28" s="27"/>
      <c r="C28" s="27"/>
      <c r="D28" s="27"/>
      <c r="E28" s="28"/>
      <c r="F28" s="25" t="str">
        <f aca="false">IF($B28="","",COUNTIF(Tareas!$C$7:$C$206,$B28))</f>
        <v/>
      </c>
      <c r="G28" s="25" t="str">
        <f aca="false">IF($B28="","",COUNTIFS(Tareas!$C$7:$C$206,$B28,Tareas!$I$7:$I$206,"Hecha"))</f>
        <v/>
      </c>
      <c r="H28" s="43" t="str">
        <f aca="false">IF(OR($B28="",$F28=0),"",$G28/$F28)</f>
        <v/>
      </c>
      <c r="I28" s="31" t="str">
        <f aca="false">IF($B28="","",IF($F28=0,"Sin tareas",IF($H28=1,"Completo",IF($D28="","Sin siguiente acción","Activo"))))</f>
        <v/>
      </c>
    </row>
    <row r="29" customFormat="false" ht="15" hidden="false" customHeight="false" outlineLevel="0" collapsed="false">
      <c r="A29" s="23" t="str">
        <f aca="false">IF($B29="","",ROW()-6)</f>
        <v/>
      </c>
      <c r="B29" s="27"/>
      <c r="C29" s="27"/>
      <c r="D29" s="27"/>
      <c r="E29" s="28"/>
      <c r="F29" s="23" t="str">
        <f aca="false">IF($B29="","",COUNTIF(Tareas!$C$7:$C$206,$B29))</f>
        <v/>
      </c>
      <c r="G29" s="23" t="str">
        <f aca="false">IF($B29="","",COUNTIFS(Tareas!$C$7:$C$206,$B29,Tareas!$I$7:$I$206,"Hecha"))</f>
        <v/>
      </c>
      <c r="H29" s="42" t="str">
        <f aca="false">IF(OR($B29="",$F29=0),"",$G29/$F29)</f>
        <v/>
      </c>
      <c r="I29" s="29" t="str">
        <f aca="false">IF($B29="","",IF($F29=0,"Sin tareas",IF($H29=1,"Completo",IF($D29="","Sin siguiente acción","Activo"))))</f>
        <v/>
      </c>
    </row>
    <row r="30" customFormat="false" ht="15" hidden="false" customHeight="false" outlineLevel="0" collapsed="false">
      <c r="A30" s="25" t="str">
        <f aca="false">IF($B30="","",ROW()-6)</f>
        <v/>
      </c>
      <c r="B30" s="27"/>
      <c r="C30" s="27"/>
      <c r="D30" s="27"/>
      <c r="E30" s="28"/>
      <c r="F30" s="25" t="str">
        <f aca="false">IF($B30="","",COUNTIF(Tareas!$C$7:$C$206,$B30))</f>
        <v/>
      </c>
      <c r="G30" s="25" t="str">
        <f aca="false">IF($B30="","",COUNTIFS(Tareas!$C$7:$C$206,$B30,Tareas!$I$7:$I$206,"Hecha"))</f>
        <v/>
      </c>
      <c r="H30" s="43" t="str">
        <f aca="false">IF(OR($B30="",$F30=0),"",$G30/$F30)</f>
        <v/>
      </c>
      <c r="I30" s="31" t="str">
        <f aca="false">IF($B30="","",IF($F30=0,"Sin tareas",IF($H30=1,"Completo",IF($D30="","Sin siguiente acción","Activo"))))</f>
        <v/>
      </c>
    </row>
    <row r="31" customFormat="false" ht="15" hidden="false" customHeight="false" outlineLevel="0" collapsed="false">
      <c r="A31" s="23" t="str">
        <f aca="false">IF($B31="","",ROW()-6)</f>
        <v/>
      </c>
      <c r="B31" s="27"/>
      <c r="C31" s="27"/>
      <c r="D31" s="27"/>
      <c r="E31" s="28"/>
      <c r="F31" s="23" t="str">
        <f aca="false">IF($B31="","",COUNTIF(Tareas!$C$7:$C$206,$B31))</f>
        <v/>
      </c>
      <c r="G31" s="23" t="str">
        <f aca="false">IF($B31="","",COUNTIFS(Tareas!$C$7:$C$206,$B31,Tareas!$I$7:$I$206,"Hecha"))</f>
        <v/>
      </c>
      <c r="H31" s="42" t="str">
        <f aca="false">IF(OR($B31="",$F31=0),"",$G31/$F31)</f>
        <v/>
      </c>
      <c r="I31" s="29" t="str">
        <f aca="false">IF($B31="","",IF($F31=0,"Sin tareas",IF($H31=1,"Completo",IF($D31="","Sin siguiente acción","Activo"))))</f>
        <v/>
      </c>
    </row>
    <row r="32" customFormat="false" ht="15" hidden="false" customHeight="false" outlineLevel="0" collapsed="false">
      <c r="A32" s="25" t="str">
        <f aca="false">IF($B32="","",ROW()-6)</f>
        <v/>
      </c>
      <c r="B32" s="27"/>
      <c r="C32" s="27"/>
      <c r="D32" s="27"/>
      <c r="E32" s="28"/>
      <c r="F32" s="25" t="str">
        <f aca="false">IF($B32="","",COUNTIF(Tareas!$C$7:$C$206,$B32))</f>
        <v/>
      </c>
      <c r="G32" s="25" t="str">
        <f aca="false">IF($B32="","",COUNTIFS(Tareas!$C$7:$C$206,$B32,Tareas!$I$7:$I$206,"Hecha"))</f>
        <v/>
      </c>
      <c r="H32" s="43" t="str">
        <f aca="false">IF(OR($B32="",$F32=0),"",$G32/$F32)</f>
        <v/>
      </c>
      <c r="I32" s="31" t="str">
        <f aca="false">IF($B32="","",IF($F32=0,"Sin tareas",IF($H32=1,"Completo",IF($D32="","Sin siguiente acción","Activo"))))</f>
        <v/>
      </c>
    </row>
    <row r="34" customFormat="false" ht="15" hidden="false" customHeight="false" outlineLevel="0" collapsed="false">
      <c r="B34" s="35" t="s">
        <v>124</v>
      </c>
    </row>
  </sheetData>
  <mergeCells count="3">
    <mergeCell ref="A1:I1"/>
    <mergeCell ref="A2:I2"/>
    <mergeCell ref="A3:I3"/>
  </mergeCells>
  <conditionalFormatting sqref="I7:I32">
    <cfRule type="cellIs" priority="2" operator="equal" aboveAverage="0" equalAverage="0" bottom="0" percent="0" rank="0" text="" dxfId="11">
      <formula>"Sin siguiente acción"</formula>
    </cfRule>
    <cfRule type="cellIs" priority="3" operator="equal" aboveAverage="0" equalAverage="0" bottom="0" percent="0" rank="0" text="" dxfId="15">
      <formula>"Completo"</formula>
    </cfRule>
  </conditionalFormatting>
  <conditionalFormatting sqref="H7:H32">
    <cfRule type="colorScale" priority="4">
      <colorScale>
        <cfvo type="num" val="0"/>
        <cfvo type="num" val="0.5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B7:B32" type="list">
      <formula1>Listas!$D$7:$D$30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9"/>
  </cols>
  <sheetData>
    <row r="1" customFormat="false" ht="25.5" hidden="false" customHeight="true" outlineLevel="0" collapsed="false">
      <c r="A1" s="12" t="s">
        <v>125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126</v>
      </c>
      <c r="B2" s="13"/>
      <c r="C2" s="13"/>
      <c r="D2" s="13"/>
      <c r="E2" s="13"/>
      <c r="F2" s="13"/>
      <c r="G2" s="13"/>
      <c r="H2" s="13"/>
    </row>
    <row r="3" customFormat="false" ht="12.75" hidden="false" customHeight="true" outlineLevel="0" collapsed="false">
      <c r="A3" s="14" t="s">
        <v>3</v>
      </c>
      <c r="B3" s="14"/>
      <c r="C3" s="14"/>
      <c r="D3" s="14"/>
      <c r="E3" s="14"/>
      <c r="F3" s="14"/>
      <c r="G3" s="14"/>
      <c r="H3" s="14"/>
    </row>
    <row r="4" customFormat="false" ht="7.5" hidden="false" customHeight="true" outlineLevel="0" collapsed="false"/>
    <row r="5" customFormat="false" ht="15" hidden="false" customHeight="false" outlineLevel="0" collapsed="false">
      <c r="A5" s="35" t="s">
        <v>127</v>
      </c>
    </row>
    <row r="6" customFormat="false" ht="24" hidden="false" customHeight="true" outlineLevel="0" collapsed="false">
      <c r="A6" s="44" t="s">
        <v>50</v>
      </c>
      <c r="B6" s="44" t="s">
        <v>48</v>
      </c>
      <c r="C6" s="44" t="s">
        <v>51</v>
      </c>
      <c r="D6" s="44" t="s">
        <v>72</v>
      </c>
      <c r="E6" s="44" t="s">
        <v>73</v>
      </c>
      <c r="F6" s="44" t="s">
        <v>128</v>
      </c>
      <c r="G6" s="44" t="s">
        <v>78</v>
      </c>
    </row>
    <row r="7" customFormat="false" ht="15" hidden="false" customHeight="false" outlineLevel="0" collapsed="false">
      <c r="A7" s="27" t="s">
        <v>53</v>
      </c>
      <c r="B7" s="27" t="s">
        <v>52</v>
      </c>
      <c r="C7" s="27" t="s">
        <v>54</v>
      </c>
      <c r="D7" s="27" t="s">
        <v>129</v>
      </c>
      <c r="E7" s="27" t="s">
        <v>85</v>
      </c>
      <c r="F7" s="27" t="s">
        <v>86</v>
      </c>
      <c r="G7" s="27" t="s">
        <v>87</v>
      </c>
    </row>
    <row r="8" customFormat="false" ht="15" hidden="false" customHeight="false" outlineLevel="0" collapsed="false">
      <c r="A8" s="27" t="s">
        <v>56</v>
      </c>
      <c r="B8" s="27" t="s">
        <v>55</v>
      </c>
      <c r="C8" s="27" t="s">
        <v>57</v>
      </c>
      <c r="D8" s="27" t="s">
        <v>84</v>
      </c>
      <c r="E8" s="27" t="s">
        <v>95</v>
      </c>
      <c r="F8" s="27" t="s">
        <v>130</v>
      </c>
      <c r="G8" s="27" t="s">
        <v>131</v>
      </c>
    </row>
    <row r="9" customFormat="false" ht="15" hidden="false" customHeight="false" outlineLevel="0" collapsed="false">
      <c r="A9" s="27" t="s">
        <v>59</v>
      </c>
      <c r="B9" s="27" t="s">
        <v>58</v>
      </c>
      <c r="C9" s="27" t="s">
        <v>60</v>
      </c>
      <c r="D9" s="27" t="s">
        <v>94</v>
      </c>
      <c r="E9" s="27" t="s">
        <v>91</v>
      </c>
      <c r="F9" s="27" t="s">
        <v>132</v>
      </c>
      <c r="G9" s="27" t="s">
        <v>92</v>
      </c>
    </row>
    <row r="10" customFormat="false" ht="15" hidden="false" customHeight="false" outlineLevel="0" collapsed="false">
      <c r="A10" s="27" t="s">
        <v>62</v>
      </c>
      <c r="B10" s="27" t="s">
        <v>61</v>
      </c>
      <c r="C10" s="27" t="s">
        <v>63</v>
      </c>
      <c r="D10" s="27" t="s">
        <v>133</v>
      </c>
      <c r="G10" s="27" t="s">
        <v>134</v>
      </c>
    </row>
    <row r="11" customFormat="false" ht="15" hidden="false" customHeight="false" outlineLevel="0" collapsed="false">
      <c r="A11" s="27" t="s">
        <v>64</v>
      </c>
      <c r="C11" s="27" t="s">
        <v>65</v>
      </c>
      <c r="D11" s="27" t="s">
        <v>90</v>
      </c>
      <c r="G11" s="27" t="s">
        <v>135</v>
      </c>
    </row>
    <row r="12" customFormat="false" ht="15" hidden="false" customHeight="false" outlineLevel="0" collapsed="false">
      <c r="C12" s="27" t="s">
        <v>66</v>
      </c>
    </row>
    <row r="34" customFormat="false" ht="18" hidden="false" customHeight="true" outlineLevel="0" collapsed="false">
      <c r="A34" s="11" t="s">
        <v>3</v>
      </c>
      <c r="B34" s="11"/>
      <c r="C34" s="11"/>
      <c r="D34" s="11"/>
      <c r="E34" s="11"/>
      <c r="F34" s="11"/>
      <c r="G34" s="11"/>
    </row>
  </sheetData>
  <mergeCells count="4">
    <mergeCell ref="A1:H1"/>
    <mergeCell ref="A2:H2"/>
    <mergeCell ref="A3:H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2026-07-31T22:57:10Z</dcterms:created>
  <dc:creator>openpyxl</dc:creator>
  <dc:description/>
  <dc:language>en-US</dc:language>
  <cp:lastModifiedBy/>
  <dcterms:modified xsi:type="dcterms:W3CDTF">2026-07-31T22:57:11Z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