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5001184\Downloads\libros\"/>
    </mc:Choice>
  </mc:AlternateContent>
  <xr:revisionPtr revIDLastSave="0" documentId="13_ncr:1_{3542CACC-7E50-4B4C-A4F5-401D6301CE10}" xr6:coauthVersionLast="47" xr6:coauthVersionMax="47" xr10:uidLastSave="{00000000-0000-0000-0000-000000000000}"/>
  <bookViews>
    <workbookView xWindow="-108" yWindow="-108" windowWidth="23256" windowHeight="12456" tabRatio="500" firstSheet="7" activeTab="6" xr2:uid="{00000000-000D-0000-FFFF-FFFF00000000}"/>
  </bookViews>
  <sheets>
    <sheet name="Portada" sheetId="1" r:id="rId1"/>
    <sheet name="Dashboard" sheetId="2" r:id="rId2"/>
    <sheet name="Ficha del Proyecto" sheetId="3" r:id="rId3"/>
    <sheet name="Plan de Tareas" sheetId="4" r:id="rId4"/>
    <sheet name="Cronograma" sheetId="5" r:id="rId5"/>
    <sheet name="Hitos" sheetId="6" r:id="rId6"/>
    <sheet name="Riesgos" sheetId="7" r:id="rId7"/>
    <sheet name="Interesados" sheetId="8" r:id="rId8"/>
    <sheet name="Presupuesto" sheetId="9" r:id="rId9"/>
    <sheet name="Equipo" sheetId="10" r:id="rId10"/>
    <sheet name="Decisiones" sheetId="11" r:id="rId11"/>
    <sheet name="Incidencias" sheetId="12" r:id="rId12"/>
    <sheet name="Listas" sheetId="13" r:id="rId13"/>
  </sheets>
  <definedNames>
    <definedName name="_xlnm._FilterDatabase" localSheetId="3" hidden="1">'Plan de Tareas'!$A$6:$N$126</definedName>
    <definedName name="_xlnm._FilterDatabase" localSheetId="6" hidden="1">Riesgos!$A$6:$L$47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7" i="12" l="1"/>
  <c r="A37" i="12"/>
  <c r="I36" i="12"/>
  <c r="A36" i="12"/>
  <c r="I35" i="12"/>
  <c r="A35" i="12"/>
  <c r="I34" i="12"/>
  <c r="A34" i="12"/>
  <c r="I33" i="12"/>
  <c r="A33" i="12"/>
  <c r="I32" i="12"/>
  <c r="A32" i="12"/>
  <c r="I31" i="12"/>
  <c r="A31" i="12"/>
  <c r="I30" i="12"/>
  <c r="A30" i="12"/>
  <c r="I29" i="12"/>
  <c r="A29" i="12"/>
  <c r="I28" i="12"/>
  <c r="A28" i="12"/>
  <c r="I27" i="12"/>
  <c r="A27" i="12"/>
  <c r="I26" i="12"/>
  <c r="A26" i="12"/>
  <c r="I25" i="12"/>
  <c r="A25" i="12"/>
  <c r="I24" i="12"/>
  <c r="A24" i="12"/>
  <c r="I23" i="12"/>
  <c r="A23" i="12"/>
  <c r="I22" i="12"/>
  <c r="A22" i="12"/>
  <c r="I21" i="12"/>
  <c r="A21" i="12"/>
  <c r="I20" i="12"/>
  <c r="A20" i="12"/>
  <c r="I19" i="12"/>
  <c r="A19" i="12"/>
  <c r="I18" i="12"/>
  <c r="A18" i="12"/>
  <c r="I17" i="12"/>
  <c r="A17" i="12"/>
  <c r="I16" i="12"/>
  <c r="A16" i="12"/>
  <c r="I15" i="12"/>
  <c r="A15" i="12"/>
  <c r="I14" i="12"/>
  <c r="A14" i="12"/>
  <c r="I13" i="12"/>
  <c r="A13" i="12"/>
  <c r="I12" i="12"/>
  <c r="A12" i="12"/>
  <c r="I11" i="12"/>
  <c r="A11" i="12"/>
  <c r="I10" i="12"/>
  <c r="A10" i="12"/>
  <c r="I9" i="12"/>
  <c r="A9" i="12"/>
  <c r="I8" i="12"/>
  <c r="A8" i="12"/>
  <c r="I7" i="12"/>
  <c r="A7" i="12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49" i="10" s="1"/>
  <c r="I43" i="9"/>
  <c r="G43" i="9"/>
  <c r="F43" i="9"/>
  <c r="E43" i="9"/>
  <c r="I42" i="9"/>
  <c r="H42" i="9"/>
  <c r="A42" i="9"/>
  <c r="I41" i="9"/>
  <c r="H41" i="9"/>
  <c r="A41" i="9"/>
  <c r="I40" i="9"/>
  <c r="H40" i="9"/>
  <c r="A40" i="9"/>
  <c r="I39" i="9"/>
  <c r="H39" i="9"/>
  <c r="A39" i="9"/>
  <c r="I38" i="9"/>
  <c r="H38" i="9"/>
  <c r="A38" i="9"/>
  <c r="I37" i="9"/>
  <c r="H37" i="9"/>
  <c r="A37" i="9"/>
  <c r="I36" i="9"/>
  <c r="H36" i="9"/>
  <c r="A36" i="9"/>
  <c r="I35" i="9"/>
  <c r="H35" i="9"/>
  <c r="A35" i="9"/>
  <c r="I34" i="9"/>
  <c r="H34" i="9"/>
  <c r="A34" i="9"/>
  <c r="I33" i="9"/>
  <c r="H33" i="9"/>
  <c r="A33" i="9"/>
  <c r="I32" i="9"/>
  <c r="H32" i="9"/>
  <c r="A32" i="9"/>
  <c r="I31" i="9"/>
  <c r="H31" i="9"/>
  <c r="A31" i="9"/>
  <c r="I30" i="9"/>
  <c r="H30" i="9"/>
  <c r="A30" i="9"/>
  <c r="I29" i="9"/>
  <c r="H29" i="9"/>
  <c r="A29" i="9"/>
  <c r="I28" i="9"/>
  <c r="H28" i="9"/>
  <c r="A28" i="9"/>
  <c r="I27" i="9"/>
  <c r="H27" i="9"/>
  <c r="A27" i="9"/>
  <c r="I26" i="9"/>
  <c r="H26" i="9"/>
  <c r="A26" i="9"/>
  <c r="I25" i="9"/>
  <c r="H25" i="9"/>
  <c r="A25" i="9"/>
  <c r="I24" i="9"/>
  <c r="H24" i="9"/>
  <c r="A24" i="9"/>
  <c r="I23" i="9"/>
  <c r="H23" i="9"/>
  <c r="A23" i="9"/>
  <c r="I22" i="9"/>
  <c r="H22" i="9"/>
  <c r="A22" i="9"/>
  <c r="I21" i="9"/>
  <c r="H21" i="9"/>
  <c r="A21" i="9"/>
  <c r="I20" i="9"/>
  <c r="H20" i="9"/>
  <c r="A20" i="9"/>
  <c r="I19" i="9"/>
  <c r="H19" i="9"/>
  <c r="A19" i="9"/>
  <c r="I18" i="9"/>
  <c r="H18" i="9"/>
  <c r="A18" i="9"/>
  <c r="I17" i="9"/>
  <c r="H17" i="9"/>
  <c r="A17" i="9"/>
  <c r="I16" i="9"/>
  <c r="H16" i="9"/>
  <c r="A16" i="9"/>
  <c r="I15" i="9"/>
  <c r="H15" i="9"/>
  <c r="A15" i="9"/>
  <c r="I14" i="9"/>
  <c r="H14" i="9"/>
  <c r="A14" i="9"/>
  <c r="I13" i="9"/>
  <c r="H13" i="9"/>
  <c r="A13" i="9"/>
  <c r="I12" i="9"/>
  <c r="H12" i="9"/>
  <c r="A12" i="9"/>
  <c r="I11" i="9"/>
  <c r="H11" i="9"/>
  <c r="A11" i="9"/>
  <c r="I10" i="9"/>
  <c r="H10" i="9"/>
  <c r="A10" i="9"/>
  <c r="I9" i="9"/>
  <c r="H9" i="9"/>
  <c r="A9" i="9"/>
  <c r="I8" i="9"/>
  <c r="H8" i="9"/>
  <c r="A8" i="9"/>
  <c r="I7" i="9"/>
  <c r="H7" i="9"/>
  <c r="H43" i="9" s="1"/>
  <c r="A7" i="9"/>
  <c r="H32" i="8"/>
  <c r="G32" i="8"/>
  <c r="A32" i="8"/>
  <c r="G31" i="8"/>
  <c r="H31" i="8" s="1"/>
  <c r="A31" i="8"/>
  <c r="H30" i="8"/>
  <c r="G30" i="8"/>
  <c r="A30" i="8"/>
  <c r="H29" i="8"/>
  <c r="G29" i="8"/>
  <c r="A29" i="8"/>
  <c r="G28" i="8"/>
  <c r="H28" i="8" s="1"/>
  <c r="A28" i="8"/>
  <c r="G27" i="8"/>
  <c r="H27" i="8" s="1"/>
  <c r="A27" i="8"/>
  <c r="G26" i="8"/>
  <c r="H26" i="8" s="1"/>
  <c r="A26" i="8"/>
  <c r="H25" i="8"/>
  <c r="G25" i="8"/>
  <c r="A25" i="8"/>
  <c r="H24" i="8"/>
  <c r="G24" i="8"/>
  <c r="A24" i="8"/>
  <c r="H23" i="8"/>
  <c r="G23" i="8"/>
  <c r="A23" i="8"/>
  <c r="G22" i="8"/>
  <c r="H22" i="8" s="1"/>
  <c r="A22" i="8"/>
  <c r="G21" i="8"/>
  <c r="H21" i="8" s="1"/>
  <c r="A21" i="8"/>
  <c r="G20" i="8"/>
  <c r="H20" i="8" s="1"/>
  <c r="A20" i="8"/>
  <c r="H19" i="8"/>
  <c r="G19" i="8"/>
  <c r="A19" i="8"/>
  <c r="G18" i="8"/>
  <c r="H18" i="8" s="1"/>
  <c r="A18" i="8"/>
  <c r="H17" i="8"/>
  <c r="G17" i="8"/>
  <c r="A17" i="8"/>
  <c r="H16" i="8"/>
  <c r="G16" i="8"/>
  <c r="A16" i="8"/>
  <c r="H15" i="8"/>
  <c r="G15" i="8"/>
  <c r="A15" i="8"/>
  <c r="G14" i="8"/>
  <c r="H14" i="8" s="1"/>
  <c r="A14" i="8"/>
  <c r="G13" i="8"/>
  <c r="H13" i="8" s="1"/>
  <c r="A13" i="8"/>
  <c r="G12" i="8"/>
  <c r="H12" i="8" s="1"/>
  <c r="A12" i="8"/>
  <c r="H11" i="8"/>
  <c r="G11" i="8"/>
  <c r="A11" i="8"/>
  <c r="G10" i="8"/>
  <c r="H10" i="8" s="1"/>
  <c r="A10" i="8"/>
  <c r="H9" i="8"/>
  <c r="G9" i="8"/>
  <c r="A9" i="8"/>
  <c r="H8" i="8"/>
  <c r="G8" i="8"/>
  <c r="A8" i="8"/>
  <c r="H7" i="8"/>
  <c r="G7" i="8"/>
  <c r="A7" i="8"/>
  <c r="F47" i="7"/>
  <c r="G47" i="7" s="1"/>
  <c r="A47" i="7"/>
  <c r="F46" i="7"/>
  <c r="G46" i="7" s="1"/>
  <c r="A46" i="7"/>
  <c r="F45" i="7"/>
  <c r="G45" i="7" s="1"/>
  <c r="A45" i="7"/>
  <c r="G44" i="7"/>
  <c r="F44" i="7"/>
  <c r="A44" i="7"/>
  <c r="F43" i="7"/>
  <c r="G43" i="7" s="1"/>
  <c r="A43" i="7"/>
  <c r="G42" i="7"/>
  <c r="F42" i="7"/>
  <c r="A42" i="7"/>
  <c r="G41" i="7"/>
  <c r="F41" i="7"/>
  <c r="A41" i="7"/>
  <c r="G40" i="7"/>
  <c r="F40" i="7"/>
  <c r="A40" i="7"/>
  <c r="F39" i="7"/>
  <c r="G39" i="7" s="1"/>
  <c r="A39" i="7"/>
  <c r="F38" i="7"/>
  <c r="G38" i="7" s="1"/>
  <c r="A38" i="7"/>
  <c r="F37" i="7"/>
  <c r="G37" i="7" s="1"/>
  <c r="A37" i="7"/>
  <c r="G36" i="7"/>
  <c r="F36" i="7"/>
  <c r="A36" i="7"/>
  <c r="F35" i="7"/>
  <c r="G35" i="7" s="1"/>
  <c r="A35" i="7"/>
  <c r="G34" i="7"/>
  <c r="F34" i="7"/>
  <c r="A34" i="7"/>
  <c r="G33" i="7"/>
  <c r="F33" i="7"/>
  <c r="A33" i="7"/>
  <c r="G32" i="7"/>
  <c r="F32" i="7"/>
  <c r="A32" i="7"/>
  <c r="F31" i="7"/>
  <c r="G31" i="7" s="1"/>
  <c r="A31" i="7"/>
  <c r="F30" i="7"/>
  <c r="G30" i="7" s="1"/>
  <c r="A30" i="7"/>
  <c r="F29" i="7"/>
  <c r="G29" i="7" s="1"/>
  <c r="A29" i="7"/>
  <c r="G28" i="7"/>
  <c r="F28" i="7"/>
  <c r="A28" i="7"/>
  <c r="F27" i="7"/>
  <c r="G27" i="7" s="1"/>
  <c r="A27" i="7"/>
  <c r="G26" i="7"/>
  <c r="F26" i="7"/>
  <c r="A26" i="7"/>
  <c r="G25" i="7"/>
  <c r="F25" i="7"/>
  <c r="A25" i="7"/>
  <c r="G24" i="7"/>
  <c r="F24" i="7"/>
  <c r="A24" i="7"/>
  <c r="F23" i="7"/>
  <c r="G23" i="7" s="1"/>
  <c r="A23" i="7"/>
  <c r="F22" i="7"/>
  <c r="G22" i="7" s="1"/>
  <c r="A22" i="7"/>
  <c r="F21" i="7"/>
  <c r="G21" i="7" s="1"/>
  <c r="A21" i="7"/>
  <c r="G20" i="7"/>
  <c r="F20" i="7"/>
  <c r="A20" i="7"/>
  <c r="F19" i="7"/>
  <c r="G19" i="7" s="1"/>
  <c r="A19" i="7"/>
  <c r="G18" i="7"/>
  <c r="F18" i="7"/>
  <c r="A18" i="7"/>
  <c r="G17" i="7"/>
  <c r="F17" i="7"/>
  <c r="A17" i="7"/>
  <c r="G16" i="7"/>
  <c r="F16" i="7"/>
  <c r="A16" i="7"/>
  <c r="F15" i="7"/>
  <c r="G15" i="7" s="1"/>
  <c r="A15" i="7"/>
  <c r="F14" i="7"/>
  <c r="G14" i="7" s="1"/>
  <c r="A14" i="7"/>
  <c r="F13" i="7"/>
  <c r="G13" i="7" s="1"/>
  <c r="A13" i="7"/>
  <c r="G12" i="7"/>
  <c r="F12" i="7"/>
  <c r="A12" i="7"/>
  <c r="F11" i="7"/>
  <c r="G11" i="7" s="1"/>
  <c r="A11" i="7"/>
  <c r="G10" i="7"/>
  <c r="F10" i="7"/>
  <c r="A10" i="7"/>
  <c r="G9" i="7"/>
  <c r="F9" i="7"/>
  <c r="A9" i="7"/>
  <c r="G8" i="7"/>
  <c r="F8" i="7"/>
  <c r="A8" i="7"/>
  <c r="F7" i="7"/>
  <c r="G7" i="7" s="1"/>
  <c r="A7" i="7"/>
  <c r="G37" i="6"/>
  <c r="F37" i="6"/>
  <c r="A37" i="6"/>
  <c r="G36" i="6"/>
  <c r="F36" i="6"/>
  <c r="A36" i="6"/>
  <c r="G35" i="6"/>
  <c r="F35" i="6"/>
  <c r="A35" i="6"/>
  <c r="G34" i="6"/>
  <c r="F34" i="6"/>
  <c r="A34" i="6"/>
  <c r="G33" i="6"/>
  <c r="F33" i="6"/>
  <c r="A33" i="6"/>
  <c r="G32" i="6"/>
  <c r="F32" i="6"/>
  <c r="A32" i="6"/>
  <c r="G31" i="6"/>
  <c r="F31" i="6"/>
  <c r="A31" i="6"/>
  <c r="G30" i="6"/>
  <c r="F30" i="6"/>
  <c r="A30" i="6"/>
  <c r="G29" i="6"/>
  <c r="F29" i="6"/>
  <c r="A29" i="6"/>
  <c r="G28" i="6"/>
  <c r="F28" i="6"/>
  <c r="A28" i="6"/>
  <c r="G27" i="6"/>
  <c r="F27" i="6"/>
  <c r="A27" i="6"/>
  <c r="G26" i="6"/>
  <c r="F26" i="6"/>
  <c r="A26" i="6"/>
  <c r="G25" i="6"/>
  <c r="F25" i="6"/>
  <c r="A25" i="6"/>
  <c r="G24" i="6"/>
  <c r="F24" i="6"/>
  <c r="A24" i="6"/>
  <c r="G23" i="6"/>
  <c r="F23" i="6"/>
  <c r="A23" i="6"/>
  <c r="G22" i="6"/>
  <c r="F22" i="6"/>
  <c r="A22" i="6"/>
  <c r="G21" i="6"/>
  <c r="F21" i="6"/>
  <c r="A21" i="6"/>
  <c r="G20" i="6"/>
  <c r="F20" i="6"/>
  <c r="A20" i="6"/>
  <c r="G19" i="6"/>
  <c r="F19" i="6"/>
  <c r="A19" i="6"/>
  <c r="G18" i="6"/>
  <c r="F18" i="6"/>
  <c r="A18" i="6"/>
  <c r="G17" i="6"/>
  <c r="F17" i="6"/>
  <c r="A17" i="6"/>
  <c r="G16" i="6"/>
  <c r="F16" i="6"/>
  <c r="A16" i="6"/>
  <c r="G15" i="6"/>
  <c r="F15" i="6"/>
  <c r="A15" i="6"/>
  <c r="G14" i="6"/>
  <c r="F14" i="6"/>
  <c r="A14" i="6"/>
  <c r="G13" i="6"/>
  <c r="F13" i="6"/>
  <c r="A13" i="6"/>
  <c r="G12" i="6"/>
  <c r="F12" i="6"/>
  <c r="A12" i="6"/>
  <c r="G11" i="6"/>
  <c r="F11" i="6"/>
  <c r="A11" i="6"/>
  <c r="G10" i="6"/>
  <c r="F10" i="6"/>
  <c r="A10" i="6"/>
  <c r="G9" i="6"/>
  <c r="F9" i="6"/>
  <c r="A9" i="6"/>
  <c r="G8" i="6"/>
  <c r="F8" i="6"/>
  <c r="A8" i="6"/>
  <c r="G7" i="6"/>
  <c r="F7" i="6"/>
  <c r="A7" i="6"/>
  <c r="E127" i="5"/>
  <c r="D127" i="5"/>
  <c r="AC127" i="5" s="1"/>
  <c r="C127" i="5"/>
  <c r="B127" i="5"/>
  <c r="A127" i="5"/>
  <c r="Q126" i="5"/>
  <c r="I126" i="5"/>
  <c r="E126" i="5"/>
  <c r="Z126" i="5" s="1"/>
  <c r="D126" i="5"/>
  <c r="AB126" i="5" s="1"/>
  <c r="C126" i="5"/>
  <c r="B126" i="5"/>
  <c r="A126" i="5"/>
  <c r="X125" i="5"/>
  <c r="P125" i="5"/>
  <c r="H125" i="5"/>
  <c r="E125" i="5"/>
  <c r="D125" i="5"/>
  <c r="AA125" i="5" s="1"/>
  <c r="C125" i="5"/>
  <c r="B125" i="5"/>
  <c r="A125" i="5"/>
  <c r="E124" i="5"/>
  <c r="X124" i="5" s="1"/>
  <c r="D124" i="5"/>
  <c r="Z124" i="5" s="1"/>
  <c r="C124" i="5"/>
  <c r="B124" i="5"/>
  <c r="A124" i="5"/>
  <c r="T123" i="5"/>
  <c r="E123" i="5"/>
  <c r="D123" i="5"/>
  <c r="AB123" i="5" s="1"/>
  <c r="C123" i="5"/>
  <c r="B123" i="5"/>
  <c r="A123" i="5"/>
  <c r="AA122" i="5"/>
  <c r="S122" i="5"/>
  <c r="K122" i="5"/>
  <c r="E122" i="5"/>
  <c r="AC122" i="5" s="1"/>
  <c r="D122" i="5"/>
  <c r="X122" i="5" s="1"/>
  <c r="C122" i="5"/>
  <c r="B122" i="5"/>
  <c r="A122" i="5"/>
  <c r="Z121" i="5"/>
  <c r="R121" i="5"/>
  <c r="J121" i="5"/>
  <c r="E121" i="5"/>
  <c r="D121" i="5"/>
  <c r="AE121" i="5" s="1"/>
  <c r="C121" i="5"/>
  <c r="B121" i="5"/>
  <c r="A121" i="5"/>
  <c r="AE120" i="5"/>
  <c r="AA120" i="5"/>
  <c r="Y120" i="5"/>
  <c r="W120" i="5"/>
  <c r="S120" i="5"/>
  <c r="Q120" i="5"/>
  <c r="O120" i="5"/>
  <c r="K120" i="5"/>
  <c r="I120" i="5"/>
  <c r="G120" i="5"/>
  <c r="E120" i="5"/>
  <c r="D120" i="5"/>
  <c r="AD120" i="5" s="1"/>
  <c r="C120" i="5"/>
  <c r="B120" i="5"/>
  <c r="A120" i="5"/>
  <c r="AD119" i="5"/>
  <c r="Z119" i="5"/>
  <c r="X119" i="5"/>
  <c r="V119" i="5"/>
  <c r="R119" i="5"/>
  <c r="P119" i="5"/>
  <c r="N119" i="5"/>
  <c r="J119" i="5"/>
  <c r="H119" i="5"/>
  <c r="F119" i="5"/>
  <c r="E119" i="5"/>
  <c r="D119" i="5"/>
  <c r="AC119" i="5" s="1"/>
  <c r="C119" i="5"/>
  <c r="B119" i="5"/>
  <c r="A119" i="5"/>
  <c r="AE118" i="5"/>
  <c r="Y118" i="5"/>
  <c r="W118" i="5"/>
  <c r="Q118" i="5"/>
  <c r="O118" i="5"/>
  <c r="I118" i="5"/>
  <c r="G118" i="5"/>
  <c r="E118" i="5"/>
  <c r="AC118" i="5" s="1"/>
  <c r="D118" i="5"/>
  <c r="AB118" i="5" s="1"/>
  <c r="C118" i="5"/>
  <c r="B118" i="5"/>
  <c r="A118" i="5"/>
  <c r="AD117" i="5"/>
  <c r="X117" i="5"/>
  <c r="V117" i="5"/>
  <c r="P117" i="5"/>
  <c r="N117" i="5"/>
  <c r="H117" i="5"/>
  <c r="F117" i="5"/>
  <c r="E117" i="5"/>
  <c r="D117" i="5"/>
  <c r="AA117" i="5" s="1"/>
  <c r="C117" i="5"/>
  <c r="B117" i="5"/>
  <c r="A117" i="5"/>
  <c r="AE116" i="5"/>
  <c r="W116" i="5"/>
  <c r="U116" i="5"/>
  <c r="O116" i="5"/>
  <c r="M116" i="5"/>
  <c r="G116" i="5"/>
  <c r="E116" i="5"/>
  <c r="AC116" i="5" s="1"/>
  <c r="D116" i="5"/>
  <c r="Z116" i="5" s="1"/>
  <c r="C116" i="5"/>
  <c r="B116" i="5"/>
  <c r="A116" i="5"/>
  <c r="AB115" i="5"/>
  <c r="V115" i="5"/>
  <c r="N115" i="5"/>
  <c r="F115" i="5"/>
  <c r="E115" i="5"/>
  <c r="D115" i="5"/>
  <c r="C115" i="5"/>
  <c r="B115" i="5"/>
  <c r="A115" i="5"/>
  <c r="AC114" i="5"/>
  <c r="S114" i="5"/>
  <c r="K114" i="5"/>
  <c r="E114" i="5"/>
  <c r="AA114" i="5" s="1"/>
  <c r="D114" i="5"/>
  <c r="C114" i="5"/>
  <c r="B114" i="5"/>
  <c r="A114" i="5"/>
  <c r="AB113" i="5"/>
  <c r="T113" i="5"/>
  <c r="J113" i="5"/>
  <c r="E113" i="5"/>
  <c r="D113" i="5"/>
  <c r="Z113" i="5" s="1"/>
  <c r="C113" i="5"/>
  <c r="B113" i="5"/>
  <c r="A113" i="5"/>
  <c r="AE112" i="5"/>
  <c r="AA112" i="5"/>
  <c r="Y112" i="5"/>
  <c r="X112" i="5"/>
  <c r="W112" i="5"/>
  <c r="S112" i="5"/>
  <c r="Q112" i="5"/>
  <c r="P112" i="5"/>
  <c r="O112" i="5"/>
  <c r="K112" i="5"/>
  <c r="I112" i="5"/>
  <c r="H112" i="5"/>
  <c r="G112" i="5"/>
  <c r="E112" i="5"/>
  <c r="D112" i="5"/>
  <c r="AD112" i="5" s="1"/>
  <c r="C112" i="5"/>
  <c r="B112" i="5"/>
  <c r="A112" i="5"/>
  <c r="AE111" i="5"/>
  <c r="AD111" i="5"/>
  <c r="Z111" i="5"/>
  <c r="X111" i="5"/>
  <c r="W111" i="5"/>
  <c r="V111" i="5"/>
  <c r="R111" i="5"/>
  <c r="P111" i="5"/>
  <c r="O111" i="5"/>
  <c r="N111" i="5"/>
  <c r="J111" i="5"/>
  <c r="H111" i="5"/>
  <c r="G111" i="5"/>
  <c r="F111" i="5"/>
  <c r="E111" i="5"/>
  <c r="D111" i="5"/>
  <c r="AC111" i="5" s="1"/>
  <c r="C111" i="5"/>
  <c r="B111" i="5"/>
  <c r="A111" i="5"/>
  <c r="AE110" i="5"/>
  <c r="Y110" i="5"/>
  <c r="Q110" i="5"/>
  <c r="M110" i="5"/>
  <c r="I110" i="5"/>
  <c r="F110" i="5"/>
  <c r="E110" i="5"/>
  <c r="U110" i="5" s="1"/>
  <c r="D110" i="5"/>
  <c r="C110" i="5"/>
  <c r="B110" i="5"/>
  <c r="A110" i="5"/>
  <c r="AB109" i="5"/>
  <c r="L109" i="5"/>
  <c r="E109" i="5"/>
  <c r="X109" i="5" s="1"/>
  <c r="D109" i="5"/>
  <c r="C109" i="5"/>
  <c r="B109" i="5"/>
  <c r="A109" i="5"/>
  <c r="AE108" i="5"/>
  <c r="O108" i="5"/>
  <c r="E108" i="5"/>
  <c r="D108" i="5"/>
  <c r="S108" i="5" s="1"/>
  <c r="C108" i="5"/>
  <c r="B108" i="5"/>
  <c r="A108" i="5"/>
  <c r="S107" i="5"/>
  <c r="E107" i="5"/>
  <c r="D107" i="5"/>
  <c r="C107" i="5"/>
  <c r="B107" i="5"/>
  <c r="A107" i="5"/>
  <c r="E106" i="5"/>
  <c r="D106" i="5"/>
  <c r="C106" i="5"/>
  <c r="B106" i="5"/>
  <c r="A106" i="5"/>
  <c r="AB105" i="5"/>
  <c r="Z105" i="5"/>
  <c r="X105" i="5"/>
  <c r="T105" i="5"/>
  <c r="Q105" i="5"/>
  <c r="L105" i="5"/>
  <c r="J105" i="5"/>
  <c r="H105" i="5"/>
  <c r="E105" i="5"/>
  <c r="D105" i="5"/>
  <c r="P105" i="5" s="1"/>
  <c r="C105" i="5"/>
  <c r="B105" i="5"/>
  <c r="A105" i="5"/>
  <c r="E104" i="5"/>
  <c r="D104" i="5"/>
  <c r="X104" i="5" s="1"/>
  <c r="C104" i="5"/>
  <c r="B104" i="5"/>
  <c r="A104" i="5"/>
  <c r="AA103" i="5"/>
  <c r="S103" i="5"/>
  <c r="K103" i="5"/>
  <c r="E103" i="5"/>
  <c r="Z103" i="5" s="1"/>
  <c r="D103" i="5"/>
  <c r="C103" i="5"/>
  <c r="B103" i="5"/>
  <c r="A103" i="5"/>
  <c r="Z102" i="5"/>
  <c r="R102" i="5"/>
  <c r="J102" i="5"/>
  <c r="E102" i="5"/>
  <c r="D102" i="5"/>
  <c r="Y102" i="5" s="1"/>
  <c r="C102" i="5"/>
  <c r="B102" i="5"/>
  <c r="A102" i="5"/>
  <c r="AD101" i="5"/>
  <c r="AA101" i="5"/>
  <c r="Y101" i="5"/>
  <c r="V101" i="5"/>
  <c r="S101" i="5"/>
  <c r="Q101" i="5"/>
  <c r="N101" i="5"/>
  <c r="K101" i="5"/>
  <c r="I101" i="5"/>
  <c r="F101" i="5"/>
  <c r="E101" i="5"/>
  <c r="D101" i="5"/>
  <c r="X101" i="5" s="1"/>
  <c r="C101" i="5"/>
  <c r="B101" i="5"/>
  <c r="A101" i="5"/>
  <c r="P100" i="5"/>
  <c r="M100" i="5"/>
  <c r="E100" i="5"/>
  <c r="X100" i="5" s="1"/>
  <c r="D100" i="5"/>
  <c r="C100" i="5"/>
  <c r="B100" i="5"/>
  <c r="A100" i="5"/>
  <c r="AE99" i="5"/>
  <c r="L99" i="5"/>
  <c r="I99" i="5"/>
  <c r="E99" i="5"/>
  <c r="D99" i="5"/>
  <c r="T99" i="5" s="1"/>
  <c r="C99" i="5"/>
  <c r="B99" i="5"/>
  <c r="A99" i="5"/>
  <c r="AD98" i="5"/>
  <c r="AA98" i="5"/>
  <c r="Y98" i="5"/>
  <c r="X98" i="5"/>
  <c r="V98" i="5"/>
  <c r="S98" i="5"/>
  <c r="Q98" i="5"/>
  <c r="P98" i="5"/>
  <c r="N98" i="5"/>
  <c r="K98" i="5"/>
  <c r="I98" i="5"/>
  <c r="H98" i="5"/>
  <c r="F98" i="5"/>
  <c r="E98" i="5"/>
  <c r="AC98" i="5" s="1"/>
  <c r="D98" i="5"/>
  <c r="AB98" i="5" s="1"/>
  <c r="C98" i="5"/>
  <c r="B98" i="5"/>
  <c r="A98" i="5"/>
  <c r="O97" i="5"/>
  <c r="M97" i="5"/>
  <c r="E97" i="5"/>
  <c r="W97" i="5" s="1"/>
  <c r="D97" i="5"/>
  <c r="C97" i="5"/>
  <c r="B97" i="5"/>
  <c r="A97" i="5"/>
  <c r="AD96" i="5"/>
  <c r="L96" i="5"/>
  <c r="I96" i="5"/>
  <c r="E96" i="5"/>
  <c r="D96" i="5"/>
  <c r="T96" i="5" s="1"/>
  <c r="C96" i="5"/>
  <c r="B96" i="5"/>
  <c r="A96" i="5"/>
  <c r="E95" i="5"/>
  <c r="D95" i="5"/>
  <c r="C95" i="5"/>
  <c r="B95" i="5"/>
  <c r="A95" i="5"/>
  <c r="W94" i="5"/>
  <c r="E94" i="5"/>
  <c r="D94" i="5"/>
  <c r="C94" i="5"/>
  <c r="B94" i="5"/>
  <c r="A94" i="5"/>
  <c r="AD93" i="5"/>
  <c r="AA93" i="5"/>
  <c r="Y93" i="5"/>
  <c r="V93" i="5"/>
  <c r="S93" i="5"/>
  <c r="Q93" i="5"/>
  <c r="N93" i="5"/>
  <c r="K93" i="5"/>
  <c r="I93" i="5"/>
  <c r="F93" i="5"/>
  <c r="E93" i="5"/>
  <c r="D93" i="5"/>
  <c r="X93" i="5" s="1"/>
  <c r="C93" i="5"/>
  <c r="B93" i="5"/>
  <c r="A93" i="5"/>
  <c r="AC92" i="5"/>
  <c r="X92" i="5"/>
  <c r="U92" i="5"/>
  <c r="R92" i="5"/>
  <c r="P92" i="5"/>
  <c r="J92" i="5"/>
  <c r="H92" i="5"/>
  <c r="E92" i="5"/>
  <c r="D92" i="5"/>
  <c r="AD92" i="5" s="1"/>
  <c r="C92" i="5"/>
  <c r="B92" i="5"/>
  <c r="A92" i="5"/>
  <c r="AB91" i="5"/>
  <c r="Y91" i="5"/>
  <c r="T91" i="5"/>
  <c r="Q91" i="5"/>
  <c r="O91" i="5"/>
  <c r="L91" i="5"/>
  <c r="G91" i="5"/>
  <c r="E91" i="5"/>
  <c r="D91" i="5"/>
  <c r="C91" i="5"/>
  <c r="B91" i="5"/>
  <c r="A91" i="5"/>
  <c r="AD90" i="5"/>
  <c r="AA90" i="5"/>
  <c r="Y90" i="5"/>
  <c r="X90" i="5"/>
  <c r="V90" i="5"/>
  <c r="S90" i="5"/>
  <c r="Q90" i="5"/>
  <c r="P90" i="5"/>
  <c r="N90" i="5"/>
  <c r="K90" i="5"/>
  <c r="I90" i="5"/>
  <c r="H90" i="5"/>
  <c r="F90" i="5"/>
  <c r="E90" i="5"/>
  <c r="AC90" i="5" s="1"/>
  <c r="D90" i="5"/>
  <c r="AB90" i="5" s="1"/>
  <c r="C90" i="5"/>
  <c r="B90" i="5"/>
  <c r="A90" i="5"/>
  <c r="R89" i="5"/>
  <c r="E89" i="5"/>
  <c r="P89" i="5" s="1"/>
  <c r="D89" i="5"/>
  <c r="AB89" i="5" s="1"/>
  <c r="C89" i="5"/>
  <c r="B89" i="5"/>
  <c r="A89" i="5"/>
  <c r="AA88" i="5"/>
  <c r="Y88" i="5"/>
  <c r="T88" i="5"/>
  <c r="N88" i="5"/>
  <c r="L88" i="5"/>
  <c r="G88" i="5"/>
  <c r="E88" i="5"/>
  <c r="D88" i="5"/>
  <c r="C88" i="5"/>
  <c r="B88" i="5"/>
  <c r="A88" i="5"/>
  <c r="AC87" i="5"/>
  <c r="X87" i="5"/>
  <c r="V87" i="5"/>
  <c r="U87" i="5"/>
  <c r="P87" i="5"/>
  <c r="K87" i="5"/>
  <c r="J87" i="5"/>
  <c r="H87" i="5"/>
  <c r="E87" i="5"/>
  <c r="G87" i="5" s="1"/>
  <c r="D87" i="5"/>
  <c r="Y87" i="5" s="1"/>
  <c r="C87" i="5"/>
  <c r="B87" i="5"/>
  <c r="A87" i="5"/>
  <c r="E86" i="5"/>
  <c r="D86" i="5"/>
  <c r="C86" i="5"/>
  <c r="B86" i="5"/>
  <c r="A86" i="5"/>
  <c r="AA85" i="5"/>
  <c r="Y85" i="5"/>
  <c r="X85" i="5"/>
  <c r="T85" i="5"/>
  <c r="S85" i="5"/>
  <c r="N85" i="5"/>
  <c r="L85" i="5"/>
  <c r="K85" i="5"/>
  <c r="H85" i="5"/>
  <c r="F85" i="5"/>
  <c r="E85" i="5"/>
  <c r="D85" i="5"/>
  <c r="C85" i="5"/>
  <c r="B85" i="5"/>
  <c r="A85" i="5"/>
  <c r="AC84" i="5"/>
  <c r="AA84" i="5"/>
  <c r="Z84" i="5"/>
  <c r="X84" i="5"/>
  <c r="W84" i="5"/>
  <c r="U84" i="5"/>
  <c r="S84" i="5"/>
  <c r="P84" i="5"/>
  <c r="O84" i="5"/>
  <c r="M84" i="5"/>
  <c r="K84" i="5"/>
  <c r="J84" i="5"/>
  <c r="H84" i="5"/>
  <c r="G84" i="5"/>
  <c r="E84" i="5"/>
  <c r="AE84" i="5" s="1"/>
  <c r="D84" i="5"/>
  <c r="AD84" i="5" s="1"/>
  <c r="C84" i="5"/>
  <c r="B84" i="5"/>
  <c r="A84" i="5"/>
  <c r="AD83" i="5"/>
  <c r="AB83" i="5"/>
  <c r="J83" i="5"/>
  <c r="E83" i="5"/>
  <c r="D83" i="5"/>
  <c r="C83" i="5"/>
  <c r="B83" i="5"/>
  <c r="A83" i="5"/>
  <c r="T82" i="5"/>
  <c r="L82" i="5"/>
  <c r="E82" i="5"/>
  <c r="D82" i="5"/>
  <c r="S82" i="5" s="1"/>
  <c r="C82" i="5"/>
  <c r="B82" i="5"/>
  <c r="A82" i="5"/>
  <c r="AE81" i="5"/>
  <c r="AA81" i="5"/>
  <c r="Z81" i="5"/>
  <c r="W81" i="5"/>
  <c r="S81" i="5"/>
  <c r="R81" i="5"/>
  <c r="O81" i="5"/>
  <c r="K81" i="5"/>
  <c r="J81" i="5"/>
  <c r="G81" i="5"/>
  <c r="E81" i="5"/>
  <c r="D81" i="5"/>
  <c r="Y81" i="5" s="1"/>
  <c r="C81" i="5"/>
  <c r="B81" i="5"/>
  <c r="A81" i="5"/>
  <c r="AE80" i="5"/>
  <c r="AD80" i="5"/>
  <c r="AA80" i="5"/>
  <c r="Z80" i="5"/>
  <c r="Y80" i="5"/>
  <c r="W80" i="5"/>
  <c r="V80" i="5"/>
  <c r="S80" i="5"/>
  <c r="R80" i="5"/>
  <c r="Q80" i="5"/>
  <c r="O80" i="5"/>
  <c r="N80" i="5"/>
  <c r="K80" i="5"/>
  <c r="J80" i="5"/>
  <c r="I80" i="5"/>
  <c r="G80" i="5"/>
  <c r="F80" i="5"/>
  <c r="E80" i="5"/>
  <c r="D80" i="5"/>
  <c r="X80" i="5" s="1"/>
  <c r="C80" i="5"/>
  <c r="B80" i="5"/>
  <c r="A80" i="5"/>
  <c r="AC79" i="5"/>
  <c r="X79" i="5"/>
  <c r="U79" i="5"/>
  <c r="I79" i="5"/>
  <c r="H79" i="5"/>
  <c r="E79" i="5"/>
  <c r="D79" i="5"/>
  <c r="AE79" i="5" s="1"/>
  <c r="C79" i="5"/>
  <c r="B79" i="5"/>
  <c r="A79" i="5"/>
  <c r="AB78" i="5"/>
  <c r="X78" i="5"/>
  <c r="T78" i="5"/>
  <c r="P78" i="5"/>
  <c r="G78" i="5"/>
  <c r="E78" i="5"/>
  <c r="D78" i="5"/>
  <c r="C78" i="5"/>
  <c r="B78" i="5"/>
  <c r="A78" i="5"/>
  <c r="AE77" i="5"/>
  <c r="AD77" i="5"/>
  <c r="AA77" i="5"/>
  <c r="X77" i="5"/>
  <c r="W77" i="5"/>
  <c r="V77" i="5"/>
  <c r="S77" i="5"/>
  <c r="P77" i="5"/>
  <c r="O77" i="5"/>
  <c r="N77" i="5"/>
  <c r="K77" i="5"/>
  <c r="H77" i="5"/>
  <c r="G77" i="5"/>
  <c r="F77" i="5"/>
  <c r="E77" i="5"/>
  <c r="D77" i="5"/>
  <c r="AC77" i="5" s="1"/>
  <c r="C77" i="5"/>
  <c r="B77" i="5"/>
  <c r="A77" i="5"/>
  <c r="AE76" i="5"/>
  <c r="AD76" i="5"/>
  <c r="AC76" i="5"/>
  <c r="Z76" i="5"/>
  <c r="V76" i="5"/>
  <c r="R76" i="5"/>
  <c r="O76" i="5"/>
  <c r="N76" i="5"/>
  <c r="M76" i="5"/>
  <c r="J76" i="5"/>
  <c r="F76" i="5"/>
  <c r="E76" i="5"/>
  <c r="D76" i="5"/>
  <c r="AB76" i="5" s="1"/>
  <c r="C76" i="5"/>
  <c r="B76" i="5"/>
  <c r="A76" i="5"/>
  <c r="U75" i="5"/>
  <c r="E75" i="5"/>
  <c r="D75" i="5"/>
  <c r="C75" i="5"/>
  <c r="B75" i="5"/>
  <c r="A75" i="5"/>
  <c r="S74" i="5"/>
  <c r="E74" i="5"/>
  <c r="D74" i="5"/>
  <c r="C74" i="5"/>
  <c r="B74" i="5"/>
  <c r="A74" i="5"/>
  <c r="AE73" i="5"/>
  <c r="AA73" i="5"/>
  <c r="Z73" i="5"/>
  <c r="S73" i="5"/>
  <c r="R73" i="5"/>
  <c r="O73" i="5"/>
  <c r="L73" i="5"/>
  <c r="G73" i="5"/>
  <c r="E73" i="5"/>
  <c r="D73" i="5"/>
  <c r="C73" i="5"/>
  <c r="B73" i="5"/>
  <c r="A73" i="5"/>
  <c r="AE72" i="5"/>
  <c r="AD72" i="5"/>
  <c r="AA72" i="5"/>
  <c r="Z72" i="5"/>
  <c r="Y72" i="5"/>
  <c r="W72" i="5"/>
  <c r="V72" i="5"/>
  <c r="S72" i="5"/>
  <c r="R72" i="5"/>
  <c r="Q72" i="5"/>
  <c r="O72" i="5"/>
  <c r="N72" i="5"/>
  <c r="K72" i="5"/>
  <c r="J72" i="5"/>
  <c r="I72" i="5"/>
  <c r="G72" i="5"/>
  <c r="F72" i="5"/>
  <c r="E72" i="5"/>
  <c r="D72" i="5"/>
  <c r="X72" i="5" s="1"/>
  <c r="C72" i="5"/>
  <c r="B72" i="5"/>
  <c r="A72" i="5"/>
  <c r="AD71" i="5"/>
  <c r="V71" i="5"/>
  <c r="E71" i="5"/>
  <c r="D71" i="5"/>
  <c r="C71" i="5"/>
  <c r="B71" i="5"/>
  <c r="A71" i="5"/>
  <c r="AE70" i="5"/>
  <c r="E70" i="5"/>
  <c r="D70" i="5"/>
  <c r="C70" i="5"/>
  <c r="B70" i="5"/>
  <c r="A70" i="5"/>
  <c r="E69" i="5"/>
  <c r="D69" i="5"/>
  <c r="C69" i="5"/>
  <c r="B69" i="5"/>
  <c r="A69" i="5"/>
  <c r="AE68" i="5"/>
  <c r="AC68" i="5"/>
  <c r="AA68" i="5"/>
  <c r="Z68" i="5"/>
  <c r="W68" i="5"/>
  <c r="V68" i="5"/>
  <c r="U68" i="5"/>
  <c r="S68" i="5"/>
  <c r="O68" i="5"/>
  <c r="N68" i="5"/>
  <c r="M68" i="5"/>
  <c r="K68" i="5"/>
  <c r="J68" i="5"/>
  <c r="G68" i="5"/>
  <c r="F68" i="5"/>
  <c r="E68" i="5"/>
  <c r="D68" i="5"/>
  <c r="AB68" i="5" s="1"/>
  <c r="C68" i="5"/>
  <c r="B68" i="5"/>
  <c r="A68" i="5"/>
  <c r="AB67" i="5"/>
  <c r="U67" i="5"/>
  <c r="T67" i="5"/>
  <c r="N67" i="5"/>
  <c r="I67" i="5"/>
  <c r="F67" i="5"/>
  <c r="E67" i="5"/>
  <c r="D67" i="5"/>
  <c r="C67" i="5"/>
  <c r="B67" i="5"/>
  <c r="A67" i="5"/>
  <c r="AB66" i="5"/>
  <c r="AA66" i="5"/>
  <c r="X66" i="5"/>
  <c r="U66" i="5"/>
  <c r="P66" i="5"/>
  <c r="M66" i="5"/>
  <c r="K66" i="5"/>
  <c r="I66" i="5"/>
  <c r="E66" i="5"/>
  <c r="S66" i="5" s="1"/>
  <c r="D66" i="5"/>
  <c r="C66" i="5"/>
  <c r="B66" i="5"/>
  <c r="A66" i="5"/>
  <c r="AE65" i="5"/>
  <c r="AB65" i="5"/>
  <c r="Z65" i="5"/>
  <c r="X65" i="5"/>
  <c r="W65" i="5"/>
  <c r="T65" i="5"/>
  <c r="S65" i="5"/>
  <c r="R65" i="5"/>
  <c r="P65" i="5"/>
  <c r="L65" i="5"/>
  <c r="K65" i="5"/>
  <c r="J65" i="5"/>
  <c r="I65" i="5"/>
  <c r="H65" i="5"/>
  <c r="G65" i="5"/>
  <c r="E65" i="5"/>
  <c r="D65" i="5"/>
  <c r="C65" i="5"/>
  <c r="B65" i="5"/>
  <c r="A65" i="5"/>
  <c r="AB64" i="5"/>
  <c r="T64" i="5"/>
  <c r="G64" i="5"/>
  <c r="E64" i="5"/>
  <c r="D64" i="5"/>
  <c r="C64" i="5"/>
  <c r="B64" i="5"/>
  <c r="A64" i="5"/>
  <c r="AE63" i="5"/>
  <c r="AD63" i="5"/>
  <c r="AA63" i="5"/>
  <c r="W63" i="5"/>
  <c r="V63" i="5"/>
  <c r="S63" i="5"/>
  <c r="O63" i="5"/>
  <c r="N63" i="5"/>
  <c r="K63" i="5"/>
  <c r="G63" i="5"/>
  <c r="F63" i="5"/>
  <c r="E63" i="5"/>
  <c r="D63" i="5"/>
  <c r="Z63" i="5" s="1"/>
  <c r="C63" i="5"/>
  <c r="B63" i="5"/>
  <c r="A63" i="5"/>
  <c r="R62" i="5"/>
  <c r="E62" i="5"/>
  <c r="V62" i="5" s="1"/>
  <c r="D62" i="5"/>
  <c r="C62" i="5"/>
  <c r="B62" i="5"/>
  <c r="A62" i="5"/>
  <c r="U61" i="5"/>
  <c r="Q61" i="5"/>
  <c r="M61" i="5"/>
  <c r="E61" i="5"/>
  <c r="D61" i="5"/>
  <c r="T61" i="5" s="1"/>
  <c r="C61" i="5"/>
  <c r="B61" i="5"/>
  <c r="A61" i="5"/>
  <c r="AB60" i="5"/>
  <c r="T60" i="5"/>
  <c r="S60" i="5"/>
  <c r="P60" i="5"/>
  <c r="L60" i="5"/>
  <c r="K60" i="5"/>
  <c r="H60" i="5"/>
  <c r="E60" i="5"/>
  <c r="D60" i="5"/>
  <c r="C60" i="5"/>
  <c r="B60" i="5"/>
  <c r="A60" i="5"/>
  <c r="AE59" i="5"/>
  <c r="AA59" i="5"/>
  <c r="Z59" i="5"/>
  <c r="X59" i="5"/>
  <c r="W59" i="5"/>
  <c r="S59" i="5"/>
  <c r="R59" i="5"/>
  <c r="P59" i="5"/>
  <c r="O59" i="5"/>
  <c r="K59" i="5"/>
  <c r="J59" i="5"/>
  <c r="H59" i="5"/>
  <c r="G59" i="5"/>
  <c r="E59" i="5"/>
  <c r="AC59" i="5" s="1"/>
  <c r="D59" i="5"/>
  <c r="AD59" i="5" s="1"/>
  <c r="C59" i="5"/>
  <c r="B59" i="5"/>
  <c r="A59" i="5"/>
  <c r="AE58" i="5"/>
  <c r="AD58" i="5"/>
  <c r="Z58" i="5"/>
  <c r="Y58" i="5"/>
  <c r="W58" i="5"/>
  <c r="V58" i="5"/>
  <c r="R58" i="5"/>
  <c r="Q58" i="5"/>
  <c r="O58" i="5"/>
  <c r="N58" i="5"/>
  <c r="J58" i="5"/>
  <c r="I58" i="5"/>
  <c r="G58" i="5"/>
  <c r="F58" i="5"/>
  <c r="E58" i="5"/>
  <c r="D58" i="5"/>
  <c r="AC58" i="5" s="1"/>
  <c r="C58" i="5"/>
  <c r="B58" i="5"/>
  <c r="A58" i="5"/>
  <c r="E57" i="5"/>
  <c r="D57" i="5"/>
  <c r="C57" i="5"/>
  <c r="B57" i="5"/>
  <c r="A57" i="5"/>
  <c r="AE56" i="5"/>
  <c r="AB56" i="5"/>
  <c r="X56" i="5"/>
  <c r="P56" i="5"/>
  <c r="O56" i="5"/>
  <c r="L56" i="5"/>
  <c r="H56" i="5"/>
  <c r="E56" i="5"/>
  <c r="D56" i="5"/>
  <c r="AC56" i="5" s="1"/>
  <c r="C56" i="5"/>
  <c r="B56" i="5"/>
  <c r="A56" i="5"/>
  <c r="AE55" i="5"/>
  <c r="AD55" i="5"/>
  <c r="W55" i="5"/>
  <c r="V55" i="5"/>
  <c r="T55" i="5"/>
  <c r="O55" i="5"/>
  <c r="N55" i="5"/>
  <c r="G55" i="5"/>
  <c r="F55" i="5"/>
  <c r="E55" i="5"/>
  <c r="D55" i="5"/>
  <c r="C55" i="5"/>
  <c r="B55" i="5"/>
  <c r="A55" i="5"/>
  <c r="Z54" i="5"/>
  <c r="S54" i="5"/>
  <c r="J54" i="5"/>
  <c r="E54" i="5"/>
  <c r="D54" i="5"/>
  <c r="Y54" i="5" s="1"/>
  <c r="C54" i="5"/>
  <c r="B54" i="5"/>
  <c r="A54" i="5"/>
  <c r="AB53" i="5"/>
  <c r="Y53" i="5"/>
  <c r="W53" i="5"/>
  <c r="O53" i="5"/>
  <c r="L53" i="5"/>
  <c r="J53" i="5"/>
  <c r="E53" i="5"/>
  <c r="D53" i="5"/>
  <c r="Z53" i="5" s="1"/>
  <c r="C53" i="5"/>
  <c r="B53" i="5"/>
  <c r="A53" i="5"/>
  <c r="AD52" i="5"/>
  <c r="AA52" i="5"/>
  <c r="Y52" i="5"/>
  <c r="X52" i="5"/>
  <c r="V52" i="5"/>
  <c r="T52" i="5"/>
  <c r="S52" i="5"/>
  <c r="Q52" i="5"/>
  <c r="N52" i="5"/>
  <c r="L52" i="5"/>
  <c r="K52" i="5"/>
  <c r="I52" i="5"/>
  <c r="H52" i="5"/>
  <c r="F52" i="5"/>
  <c r="E52" i="5"/>
  <c r="D52" i="5"/>
  <c r="C52" i="5"/>
  <c r="B52" i="5"/>
  <c r="A52" i="5"/>
  <c r="P51" i="5"/>
  <c r="I51" i="5"/>
  <c r="E51" i="5"/>
  <c r="D51" i="5"/>
  <c r="C51" i="5"/>
  <c r="B51" i="5"/>
  <c r="A51" i="5"/>
  <c r="AE50" i="5"/>
  <c r="AD50" i="5"/>
  <c r="AB50" i="5"/>
  <c r="Z50" i="5"/>
  <c r="W50" i="5"/>
  <c r="V50" i="5"/>
  <c r="T50" i="5"/>
  <c r="R50" i="5"/>
  <c r="Q50" i="5"/>
  <c r="P50" i="5"/>
  <c r="L50" i="5"/>
  <c r="J50" i="5"/>
  <c r="I50" i="5"/>
  <c r="H50" i="5"/>
  <c r="G50" i="5"/>
  <c r="F50" i="5"/>
  <c r="E50" i="5"/>
  <c r="D50" i="5"/>
  <c r="C50" i="5"/>
  <c r="B50" i="5"/>
  <c r="A50" i="5"/>
  <c r="AE49" i="5"/>
  <c r="AD49" i="5"/>
  <c r="AC49" i="5"/>
  <c r="X49" i="5"/>
  <c r="W49" i="5"/>
  <c r="V49" i="5"/>
  <c r="U49" i="5"/>
  <c r="S49" i="5"/>
  <c r="Q49" i="5"/>
  <c r="N49" i="5"/>
  <c r="M49" i="5"/>
  <c r="K49" i="5"/>
  <c r="I49" i="5"/>
  <c r="H49" i="5"/>
  <c r="G49" i="5"/>
  <c r="E49" i="5"/>
  <c r="AA49" i="5" s="1"/>
  <c r="D49" i="5"/>
  <c r="AB49" i="5" s="1"/>
  <c r="C49" i="5"/>
  <c r="B49" i="5"/>
  <c r="A49" i="5"/>
  <c r="AE48" i="5"/>
  <c r="AD48" i="5"/>
  <c r="W48" i="5"/>
  <c r="U48" i="5"/>
  <c r="T48" i="5"/>
  <c r="M48" i="5"/>
  <c r="J48" i="5"/>
  <c r="H48" i="5"/>
  <c r="E48" i="5"/>
  <c r="D48" i="5"/>
  <c r="V48" i="5" s="1"/>
  <c r="C48" i="5"/>
  <c r="B48" i="5"/>
  <c r="A48" i="5"/>
  <c r="Y47" i="5"/>
  <c r="V47" i="5"/>
  <c r="U47" i="5"/>
  <c r="N47" i="5"/>
  <c r="L47" i="5"/>
  <c r="K47" i="5"/>
  <c r="E47" i="5"/>
  <c r="D47" i="5"/>
  <c r="C47" i="5"/>
  <c r="B47" i="5"/>
  <c r="A47" i="5"/>
  <c r="Z46" i="5"/>
  <c r="X46" i="5"/>
  <c r="W46" i="5"/>
  <c r="R46" i="5"/>
  <c r="P46" i="5"/>
  <c r="O46" i="5"/>
  <c r="J46" i="5"/>
  <c r="H46" i="5"/>
  <c r="G46" i="5"/>
  <c r="E46" i="5"/>
  <c r="D46" i="5"/>
  <c r="AE46" i="5" s="1"/>
  <c r="C46" i="5"/>
  <c r="B46" i="5"/>
  <c r="A46" i="5"/>
  <c r="AE45" i="5"/>
  <c r="AD45" i="5"/>
  <c r="AA45" i="5"/>
  <c r="Z45" i="5"/>
  <c r="Y45" i="5"/>
  <c r="X45" i="5"/>
  <c r="W45" i="5"/>
  <c r="V45" i="5"/>
  <c r="S45" i="5"/>
  <c r="R45" i="5"/>
  <c r="Q45" i="5"/>
  <c r="P45" i="5"/>
  <c r="O45" i="5"/>
  <c r="N45" i="5"/>
  <c r="K45" i="5"/>
  <c r="J45" i="5"/>
  <c r="I45" i="5"/>
  <c r="H45" i="5"/>
  <c r="G45" i="5"/>
  <c r="F45" i="5"/>
  <c r="E45" i="5"/>
  <c r="D45" i="5"/>
  <c r="AC45" i="5" s="1"/>
  <c r="C45" i="5"/>
  <c r="B45" i="5"/>
  <c r="A45" i="5"/>
  <c r="AD44" i="5"/>
  <c r="AC44" i="5"/>
  <c r="U44" i="5"/>
  <c r="H44" i="5"/>
  <c r="F44" i="5"/>
  <c r="E44" i="5"/>
  <c r="V44" i="5" s="1"/>
  <c r="D44" i="5"/>
  <c r="C44" i="5"/>
  <c r="B44" i="5"/>
  <c r="A44" i="5"/>
  <c r="T43" i="5"/>
  <c r="E43" i="5"/>
  <c r="AC43" i="5" s="1"/>
  <c r="D43" i="5"/>
  <c r="U43" i="5" s="1"/>
  <c r="C43" i="5"/>
  <c r="B43" i="5"/>
  <c r="A43" i="5"/>
  <c r="N42" i="5"/>
  <c r="E42" i="5"/>
  <c r="D42" i="5"/>
  <c r="T42" i="5" s="1"/>
  <c r="C42" i="5"/>
  <c r="B42" i="5"/>
  <c r="A42" i="5"/>
  <c r="Z41" i="5"/>
  <c r="U41" i="5"/>
  <c r="S41" i="5"/>
  <c r="R41" i="5"/>
  <c r="M41" i="5"/>
  <c r="K41" i="5"/>
  <c r="E41" i="5"/>
  <c r="D41" i="5"/>
  <c r="Y41" i="5" s="1"/>
  <c r="C41" i="5"/>
  <c r="B41" i="5"/>
  <c r="A41" i="5"/>
  <c r="AB40" i="5"/>
  <c r="Z40" i="5"/>
  <c r="T40" i="5"/>
  <c r="R40" i="5"/>
  <c r="Q40" i="5"/>
  <c r="L40" i="5"/>
  <c r="J40" i="5"/>
  <c r="I40" i="5"/>
  <c r="E40" i="5"/>
  <c r="D40" i="5"/>
  <c r="C40" i="5"/>
  <c r="B40" i="5"/>
  <c r="A40" i="5"/>
  <c r="AA39" i="5"/>
  <c r="Y39" i="5"/>
  <c r="X39" i="5"/>
  <c r="S39" i="5"/>
  <c r="Q39" i="5"/>
  <c r="P39" i="5"/>
  <c r="K39" i="5"/>
  <c r="I39" i="5"/>
  <c r="H39" i="5"/>
  <c r="E39" i="5"/>
  <c r="AC39" i="5" s="1"/>
  <c r="D39" i="5"/>
  <c r="AE39" i="5" s="1"/>
  <c r="C39" i="5"/>
  <c r="B39" i="5"/>
  <c r="A39" i="5"/>
  <c r="AE38" i="5"/>
  <c r="Z38" i="5"/>
  <c r="X38" i="5"/>
  <c r="W38" i="5"/>
  <c r="R38" i="5"/>
  <c r="P38" i="5"/>
  <c r="O38" i="5"/>
  <c r="J38" i="5"/>
  <c r="H38" i="5"/>
  <c r="G38" i="5"/>
  <c r="E38" i="5"/>
  <c r="D38" i="5"/>
  <c r="AD38" i="5" s="1"/>
  <c r="C38" i="5"/>
  <c r="B38" i="5"/>
  <c r="A38" i="5"/>
  <c r="AE37" i="5"/>
  <c r="AD37" i="5"/>
  <c r="AA37" i="5"/>
  <c r="Z37" i="5"/>
  <c r="Y37" i="5"/>
  <c r="X37" i="5"/>
  <c r="W37" i="5"/>
  <c r="V37" i="5"/>
  <c r="S37" i="5"/>
  <c r="R37" i="5"/>
  <c r="Q37" i="5"/>
  <c r="P37" i="5"/>
  <c r="O37" i="5"/>
  <c r="N37" i="5"/>
  <c r="K37" i="5"/>
  <c r="J37" i="5"/>
  <c r="I37" i="5"/>
  <c r="H37" i="5"/>
  <c r="G37" i="5"/>
  <c r="F37" i="5"/>
  <c r="E37" i="5"/>
  <c r="D37" i="5"/>
  <c r="AC37" i="5" s="1"/>
  <c r="C37" i="5"/>
  <c r="B37" i="5"/>
  <c r="A37" i="5"/>
  <c r="P36" i="5"/>
  <c r="E36" i="5"/>
  <c r="V36" i="5" s="1"/>
  <c r="D36" i="5"/>
  <c r="C36" i="5"/>
  <c r="B36" i="5"/>
  <c r="A36" i="5"/>
  <c r="O35" i="5"/>
  <c r="E35" i="5"/>
  <c r="D35" i="5"/>
  <c r="U35" i="5" s="1"/>
  <c r="C35" i="5"/>
  <c r="B35" i="5"/>
  <c r="A35" i="5"/>
  <c r="T34" i="5"/>
  <c r="L34" i="5"/>
  <c r="E34" i="5"/>
  <c r="D34" i="5"/>
  <c r="S34" i="5" s="1"/>
  <c r="C34" i="5"/>
  <c r="B34" i="5"/>
  <c r="A34" i="5"/>
  <c r="AC33" i="5"/>
  <c r="S33" i="5"/>
  <c r="M33" i="5"/>
  <c r="E33" i="5"/>
  <c r="R33" i="5" s="1"/>
  <c r="D33" i="5"/>
  <c r="Y33" i="5" s="1"/>
  <c r="C33" i="5"/>
  <c r="B33" i="5"/>
  <c r="A33" i="5"/>
  <c r="Z32" i="5"/>
  <c r="Y32" i="5"/>
  <c r="V32" i="5"/>
  <c r="T32" i="5"/>
  <c r="Q32" i="5"/>
  <c r="J32" i="5"/>
  <c r="I32" i="5"/>
  <c r="F32" i="5"/>
  <c r="E32" i="5"/>
  <c r="D32" i="5"/>
  <c r="C32" i="5"/>
  <c r="B32" i="5"/>
  <c r="A32" i="5"/>
  <c r="AC31" i="5"/>
  <c r="AA31" i="5"/>
  <c r="Y31" i="5"/>
  <c r="X31" i="5"/>
  <c r="S31" i="5"/>
  <c r="M31" i="5"/>
  <c r="K31" i="5"/>
  <c r="I31" i="5"/>
  <c r="H31" i="5"/>
  <c r="E31" i="5"/>
  <c r="Q31" i="5" s="1"/>
  <c r="D31" i="5"/>
  <c r="AE31" i="5" s="1"/>
  <c r="C31" i="5"/>
  <c r="B31" i="5"/>
  <c r="A31" i="5"/>
  <c r="AE30" i="5"/>
  <c r="AB30" i="5"/>
  <c r="Z30" i="5"/>
  <c r="X30" i="5"/>
  <c r="W30" i="5"/>
  <c r="P30" i="5"/>
  <c r="O30" i="5"/>
  <c r="L30" i="5"/>
  <c r="J30" i="5"/>
  <c r="H30" i="5"/>
  <c r="G30" i="5"/>
  <c r="E30" i="5"/>
  <c r="D30" i="5"/>
  <c r="C30" i="5"/>
  <c r="B30" i="5"/>
  <c r="A30" i="5"/>
  <c r="AE29" i="5"/>
  <c r="AD29" i="5"/>
  <c r="AA29" i="5"/>
  <c r="Z29" i="5"/>
  <c r="Y29" i="5"/>
  <c r="X29" i="5"/>
  <c r="W29" i="5"/>
  <c r="V29" i="5"/>
  <c r="S29" i="5"/>
  <c r="R29" i="5"/>
  <c r="Q29" i="5"/>
  <c r="P29" i="5"/>
  <c r="O29" i="5"/>
  <c r="N29" i="5"/>
  <c r="K29" i="5"/>
  <c r="J29" i="5"/>
  <c r="I29" i="5"/>
  <c r="H29" i="5"/>
  <c r="G29" i="5"/>
  <c r="F29" i="5"/>
  <c r="E29" i="5"/>
  <c r="D29" i="5"/>
  <c r="AC29" i="5" s="1"/>
  <c r="C29" i="5"/>
  <c r="B29" i="5"/>
  <c r="A29" i="5"/>
  <c r="AC28" i="5"/>
  <c r="X28" i="5"/>
  <c r="V28" i="5"/>
  <c r="U28" i="5"/>
  <c r="R28" i="5"/>
  <c r="P28" i="5"/>
  <c r="J28" i="5"/>
  <c r="I28" i="5"/>
  <c r="H28" i="5"/>
  <c r="F28" i="5"/>
  <c r="E28" i="5"/>
  <c r="D28" i="5"/>
  <c r="AB28" i="5" s="1"/>
  <c r="C28" i="5"/>
  <c r="B28" i="5"/>
  <c r="A28" i="5"/>
  <c r="X27" i="5"/>
  <c r="L27" i="5"/>
  <c r="E27" i="5"/>
  <c r="D27" i="5"/>
  <c r="AB27" i="5" s="1"/>
  <c r="C27" i="5"/>
  <c r="B27" i="5"/>
  <c r="A27" i="5"/>
  <c r="AA26" i="5"/>
  <c r="X26" i="5"/>
  <c r="T26" i="5"/>
  <c r="N26" i="5"/>
  <c r="L26" i="5"/>
  <c r="G26" i="5"/>
  <c r="E26" i="5"/>
  <c r="D26" i="5"/>
  <c r="W26" i="5" s="1"/>
  <c r="C26" i="5"/>
  <c r="B26" i="5"/>
  <c r="A26" i="5"/>
  <c r="AE25" i="5"/>
  <c r="AD25" i="5"/>
  <c r="Z25" i="5"/>
  <c r="W25" i="5"/>
  <c r="V25" i="5"/>
  <c r="U25" i="5"/>
  <c r="S25" i="5"/>
  <c r="R25" i="5"/>
  <c r="M25" i="5"/>
  <c r="L25" i="5"/>
  <c r="K25" i="5"/>
  <c r="J25" i="5"/>
  <c r="G25" i="5"/>
  <c r="F25" i="5"/>
  <c r="E25" i="5"/>
  <c r="D25" i="5"/>
  <c r="C25" i="5"/>
  <c r="B25" i="5"/>
  <c r="A25" i="5"/>
  <c r="AD24" i="5"/>
  <c r="AC24" i="5"/>
  <c r="AB24" i="5"/>
  <c r="Y24" i="5"/>
  <c r="V24" i="5"/>
  <c r="U24" i="5"/>
  <c r="T24" i="5"/>
  <c r="S24" i="5"/>
  <c r="R24" i="5"/>
  <c r="M24" i="5"/>
  <c r="L24" i="5"/>
  <c r="K24" i="5"/>
  <c r="J24" i="5"/>
  <c r="I24" i="5"/>
  <c r="F24" i="5"/>
  <c r="E24" i="5"/>
  <c r="D24" i="5"/>
  <c r="C24" i="5"/>
  <c r="B24" i="5"/>
  <c r="A24" i="5"/>
  <c r="E23" i="5"/>
  <c r="Y23" i="5" s="1"/>
  <c r="D23" i="5"/>
  <c r="C23" i="5"/>
  <c r="B23" i="5"/>
  <c r="A23" i="5"/>
  <c r="AE22" i="5"/>
  <c r="AB22" i="5"/>
  <c r="AA22" i="5"/>
  <c r="Z22" i="5"/>
  <c r="X22" i="5"/>
  <c r="W22" i="5"/>
  <c r="T22" i="5"/>
  <c r="S22" i="5"/>
  <c r="R22" i="5"/>
  <c r="Q22" i="5"/>
  <c r="P22" i="5"/>
  <c r="L22" i="5"/>
  <c r="K22" i="5"/>
  <c r="J22" i="5"/>
  <c r="I22" i="5"/>
  <c r="H22" i="5"/>
  <c r="G22" i="5"/>
  <c r="E22" i="5"/>
  <c r="D22" i="5"/>
  <c r="C22" i="5"/>
  <c r="B22" i="5"/>
  <c r="A22" i="5"/>
  <c r="AE21" i="5"/>
  <c r="AD21" i="5"/>
  <c r="AA21" i="5"/>
  <c r="Z21" i="5"/>
  <c r="Y21" i="5"/>
  <c r="X21" i="5"/>
  <c r="W21" i="5"/>
  <c r="V21" i="5"/>
  <c r="S21" i="5"/>
  <c r="R21" i="5"/>
  <c r="Q21" i="5"/>
  <c r="P21" i="5"/>
  <c r="O21" i="5"/>
  <c r="N21" i="5"/>
  <c r="K21" i="5"/>
  <c r="J21" i="5"/>
  <c r="I21" i="5"/>
  <c r="H21" i="5"/>
  <c r="G21" i="5"/>
  <c r="F21" i="5"/>
  <c r="E21" i="5"/>
  <c r="D21" i="5"/>
  <c r="AC21" i="5" s="1"/>
  <c r="C21" i="5"/>
  <c r="B21" i="5"/>
  <c r="A21" i="5"/>
  <c r="AE20" i="5"/>
  <c r="AD20" i="5"/>
  <c r="AC20" i="5"/>
  <c r="X20" i="5"/>
  <c r="W20" i="5"/>
  <c r="V20" i="5"/>
  <c r="U20" i="5"/>
  <c r="R20" i="5"/>
  <c r="Q20" i="5"/>
  <c r="N20" i="5"/>
  <c r="M20" i="5"/>
  <c r="J20" i="5"/>
  <c r="I20" i="5"/>
  <c r="H20" i="5"/>
  <c r="G20" i="5"/>
  <c r="E20" i="5"/>
  <c r="D20" i="5"/>
  <c r="AB20" i="5" s="1"/>
  <c r="C20" i="5"/>
  <c r="B20" i="5"/>
  <c r="A20" i="5"/>
  <c r="AD19" i="5"/>
  <c r="T19" i="5"/>
  <c r="J19" i="5"/>
  <c r="E19" i="5"/>
  <c r="X19" i="5" s="1"/>
  <c r="D19" i="5"/>
  <c r="AE19" i="5" s="1"/>
  <c r="C19" i="5"/>
  <c r="B19" i="5"/>
  <c r="A19" i="5"/>
  <c r="AD18" i="5"/>
  <c r="AC18" i="5"/>
  <c r="AB18" i="5"/>
  <c r="AA18" i="5"/>
  <c r="Y18" i="5"/>
  <c r="X18" i="5"/>
  <c r="U18" i="5"/>
  <c r="T18" i="5"/>
  <c r="S18" i="5"/>
  <c r="Q18" i="5"/>
  <c r="P18" i="5"/>
  <c r="O18" i="5"/>
  <c r="L18" i="5"/>
  <c r="K18" i="5"/>
  <c r="I18" i="5"/>
  <c r="H18" i="5"/>
  <c r="G18" i="5"/>
  <c r="F18" i="5"/>
  <c r="E18" i="5"/>
  <c r="D18" i="5"/>
  <c r="C18" i="5"/>
  <c r="B18" i="5"/>
  <c r="A18" i="5"/>
  <c r="AC17" i="5"/>
  <c r="T17" i="5"/>
  <c r="K17" i="5"/>
  <c r="E17" i="5"/>
  <c r="X17" i="5" s="1"/>
  <c r="D17" i="5"/>
  <c r="AD17" i="5" s="1"/>
  <c r="C17" i="5"/>
  <c r="B17" i="5"/>
  <c r="A17" i="5"/>
  <c r="AD16" i="5"/>
  <c r="AC16" i="5"/>
  <c r="AB16" i="5"/>
  <c r="AA16" i="5"/>
  <c r="Z16" i="5"/>
  <c r="Y16" i="5"/>
  <c r="U16" i="5"/>
  <c r="T16" i="5"/>
  <c r="S16" i="5"/>
  <c r="R16" i="5"/>
  <c r="Q16" i="5"/>
  <c r="O16" i="5"/>
  <c r="L16" i="5"/>
  <c r="K16" i="5"/>
  <c r="J16" i="5"/>
  <c r="I16" i="5"/>
  <c r="G16" i="5"/>
  <c r="F16" i="5"/>
  <c r="E16" i="5"/>
  <c r="D16" i="5"/>
  <c r="C16" i="5"/>
  <c r="B16" i="5"/>
  <c r="A16" i="5"/>
  <c r="AB15" i="5"/>
  <c r="S15" i="5"/>
  <c r="J15" i="5"/>
  <c r="E15" i="5"/>
  <c r="D15" i="5"/>
  <c r="AD15" i="5" s="1"/>
  <c r="C15" i="5"/>
  <c r="B15" i="5"/>
  <c r="A15" i="5"/>
  <c r="AA14" i="5"/>
  <c r="Z14" i="5"/>
  <c r="Y14" i="5"/>
  <c r="W14" i="5"/>
  <c r="S14" i="5"/>
  <c r="R14" i="5"/>
  <c r="Q14" i="5"/>
  <c r="O14" i="5"/>
  <c r="K14" i="5"/>
  <c r="J14" i="5"/>
  <c r="I14" i="5"/>
  <c r="G14" i="5"/>
  <c r="E14" i="5"/>
  <c r="D14" i="5"/>
  <c r="AD14" i="5" s="1"/>
  <c r="C14" i="5"/>
  <c r="B14" i="5"/>
  <c r="A14" i="5"/>
  <c r="AE13" i="5"/>
  <c r="AD13" i="5"/>
  <c r="AA13" i="5"/>
  <c r="Z13" i="5"/>
  <c r="Y13" i="5"/>
  <c r="X13" i="5"/>
  <c r="W13" i="5"/>
  <c r="V13" i="5"/>
  <c r="S13" i="5"/>
  <c r="R13" i="5"/>
  <c r="Q13" i="5"/>
  <c r="P13" i="5"/>
  <c r="O13" i="5"/>
  <c r="N13" i="5"/>
  <c r="K13" i="5"/>
  <c r="J13" i="5"/>
  <c r="I13" i="5"/>
  <c r="H13" i="5"/>
  <c r="G13" i="5"/>
  <c r="F13" i="5"/>
  <c r="E13" i="5"/>
  <c r="D13" i="5"/>
  <c r="AC13" i="5" s="1"/>
  <c r="C13" i="5"/>
  <c r="B13" i="5"/>
  <c r="A13" i="5"/>
  <c r="E12" i="5"/>
  <c r="AA12" i="5" s="1"/>
  <c r="D12" i="5"/>
  <c r="AB12" i="5" s="1"/>
  <c r="C12" i="5"/>
  <c r="B12" i="5"/>
  <c r="A12" i="5"/>
  <c r="E11" i="5"/>
  <c r="D11" i="5"/>
  <c r="AA11" i="5" s="1"/>
  <c r="C11" i="5"/>
  <c r="B11" i="5"/>
  <c r="A11" i="5"/>
  <c r="AE10" i="5"/>
  <c r="AD10" i="5"/>
  <c r="AA10" i="5"/>
  <c r="W10" i="5"/>
  <c r="V10" i="5"/>
  <c r="S10" i="5"/>
  <c r="O10" i="5"/>
  <c r="N10" i="5"/>
  <c r="K10" i="5"/>
  <c r="G10" i="5"/>
  <c r="F10" i="5"/>
  <c r="E10" i="5"/>
  <c r="X10" i="5" s="1"/>
  <c r="D10" i="5"/>
  <c r="Z10" i="5" s="1"/>
  <c r="C10" i="5"/>
  <c r="B10" i="5"/>
  <c r="A10" i="5"/>
  <c r="Z9" i="5"/>
  <c r="R9" i="5"/>
  <c r="J9" i="5"/>
  <c r="E9" i="5"/>
  <c r="AD9" i="5" s="1"/>
  <c r="D9" i="5"/>
  <c r="Y9" i="5" s="1"/>
  <c r="C9" i="5"/>
  <c r="B9" i="5"/>
  <c r="Y8" i="5"/>
  <c r="Q8" i="5"/>
  <c r="I8" i="5"/>
  <c r="E8" i="5"/>
  <c r="D8" i="5"/>
  <c r="X8" i="5" s="1"/>
  <c r="C8" i="5"/>
  <c r="B8" i="5"/>
  <c r="A8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L126" i="4"/>
  <c r="K126" i="4"/>
  <c r="H126" i="4"/>
  <c r="A126" i="4"/>
  <c r="L125" i="4"/>
  <c r="K125" i="4"/>
  <c r="H125" i="4"/>
  <c r="A125" i="4"/>
  <c r="L124" i="4"/>
  <c r="K124" i="4"/>
  <c r="H124" i="4"/>
  <c r="A124" i="4"/>
  <c r="L123" i="4"/>
  <c r="K123" i="4"/>
  <c r="H123" i="4"/>
  <c r="A123" i="4"/>
  <c r="L122" i="4"/>
  <c r="K122" i="4"/>
  <c r="H122" i="4"/>
  <c r="A122" i="4"/>
  <c r="L121" i="4"/>
  <c r="K121" i="4"/>
  <c r="H121" i="4"/>
  <c r="A121" i="4"/>
  <c r="L120" i="4"/>
  <c r="K120" i="4"/>
  <c r="H120" i="4"/>
  <c r="A120" i="4"/>
  <c r="L119" i="4"/>
  <c r="K119" i="4"/>
  <c r="H119" i="4"/>
  <c r="A119" i="4"/>
  <c r="L118" i="4"/>
  <c r="K118" i="4"/>
  <c r="H118" i="4"/>
  <c r="A118" i="4"/>
  <c r="L117" i="4"/>
  <c r="K117" i="4"/>
  <c r="H117" i="4"/>
  <c r="A117" i="4"/>
  <c r="L116" i="4"/>
  <c r="K116" i="4"/>
  <c r="H116" i="4"/>
  <c r="A116" i="4"/>
  <c r="L115" i="4"/>
  <c r="K115" i="4"/>
  <c r="H115" i="4"/>
  <c r="A115" i="4"/>
  <c r="L114" i="4"/>
  <c r="K114" i="4"/>
  <c r="H114" i="4"/>
  <c r="A114" i="4"/>
  <c r="L113" i="4"/>
  <c r="K113" i="4"/>
  <c r="H113" i="4"/>
  <c r="A113" i="4"/>
  <c r="L112" i="4"/>
  <c r="K112" i="4"/>
  <c r="H112" i="4"/>
  <c r="A112" i="4"/>
  <c r="L111" i="4"/>
  <c r="K111" i="4"/>
  <c r="H111" i="4"/>
  <c r="A111" i="4"/>
  <c r="L110" i="4"/>
  <c r="K110" i="4"/>
  <c r="H110" i="4"/>
  <c r="A110" i="4"/>
  <c r="L109" i="4"/>
  <c r="K109" i="4"/>
  <c r="H109" i="4"/>
  <c r="A109" i="4"/>
  <c r="L108" i="4"/>
  <c r="K108" i="4"/>
  <c r="H108" i="4"/>
  <c r="A108" i="4"/>
  <c r="L107" i="4"/>
  <c r="K107" i="4"/>
  <c r="H107" i="4"/>
  <c r="A107" i="4"/>
  <c r="L106" i="4"/>
  <c r="K106" i="4"/>
  <c r="H106" i="4"/>
  <c r="A106" i="4"/>
  <c r="L105" i="4"/>
  <c r="K105" i="4"/>
  <c r="H105" i="4"/>
  <c r="A105" i="4"/>
  <c r="L104" i="4"/>
  <c r="K104" i="4"/>
  <c r="H104" i="4"/>
  <c r="A104" i="4"/>
  <c r="L103" i="4"/>
  <c r="K103" i="4"/>
  <c r="H103" i="4"/>
  <c r="A103" i="4"/>
  <c r="L102" i="4"/>
  <c r="K102" i="4"/>
  <c r="H102" i="4"/>
  <c r="A102" i="4"/>
  <c r="L101" i="4"/>
  <c r="K101" i="4"/>
  <c r="H101" i="4"/>
  <c r="A101" i="4"/>
  <c r="L100" i="4"/>
  <c r="K100" i="4"/>
  <c r="H100" i="4"/>
  <c r="A100" i="4"/>
  <c r="L99" i="4"/>
  <c r="K99" i="4"/>
  <c r="H99" i="4"/>
  <c r="A99" i="4"/>
  <c r="L98" i="4"/>
  <c r="K98" i="4"/>
  <c r="H98" i="4"/>
  <c r="A98" i="4"/>
  <c r="L97" i="4"/>
  <c r="K97" i="4"/>
  <c r="H97" i="4"/>
  <c r="A97" i="4"/>
  <c r="L96" i="4"/>
  <c r="K96" i="4"/>
  <c r="H96" i="4"/>
  <c r="A96" i="4"/>
  <c r="L95" i="4"/>
  <c r="K95" i="4"/>
  <c r="H95" i="4"/>
  <c r="A95" i="4"/>
  <c r="L94" i="4"/>
  <c r="K94" i="4"/>
  <c r="H94" i="4"/>
  <c r="A94" i="4"/>
  <c r="L93" i="4"/>
  <c r="K93" i="4"/>
  <c r="H93" i="4"/>
  <c r="A93" i="4"/>
  <c r="L92" i="4"/>
  <c r="K92" i="4"/>
  <c r="H92" i="4"/>
  <c r="A92" i="4"/>
  <c r="L91" i="4"/>
  <c r="K91" i="4"/>
  <c r="H91" i="4"/>
  <c r="A91" i="4"/>
  <c r="L90" i="4"/>
  <c r="K90" i="4"/>
  <c r="H90" i="4"/>
  <c r="A90" i="4"/>
  <c r="L89" i="4"/>
  <c r="K89" i="4"/>
  <c r="H89" i="4"/>
  <c r="A89" i="4"/>
  <c r="L88" i="4"/>
  <c r="K88" i="4"/>
  <c r="H88" i="4"/>
  <c r="A88" i="4"/>
  <c r="L87" i="4"/>
  <c r="K87" i="4"/>
  <c r="H87" i="4"/>
  <c r="A87" i="4"/>
  <c r="L86" i="4"/>
  <c r="K86" i="4"/>
  <c r="H86" i="4"/>
  <c r="A86" i="4"/>
  <c r="L85" i="4"/>
  <c r="K85" i="4"/>
  <c r="H85" i="4"/>
  <c r="A85" i="4"/>
  <c r="L84" i="4"/>
  <c r="K84" i="4"/>
  <c r="H84" i="4"/>
  <c r="A84" i="4"/>
  <c r="L83" i="4"/>
  <c r="K83" i="4"/>
  <c r="H83" i="4"/>
  <c r="A83" i="4"/>
  <c r="L82" i="4"/>
  <c r="K82" i="4"/>
  <c r="H82" i="4"/>
  <c r="A82" i="4"/>
  <c r="L81" i="4"/>
  <c r="K81" i="4"/>
  <c r="H81" i="4"/>
  <c r="A81" i="4"/>
  <c r="L80" i="4"/>
  <c r="K80" i="4"/>
  <c r="H80" i="4"/>
  <c r="A80" i="4"/>
  <c r="L79" i="4"/>
  <c r="K79" i="4"/>
  <c r="H79" i="4"/>
  <c r="A79" i="4"/>
  <c r="L78" i="4"/>
  <c r="K78" i="4"/>
  <c r="H78" i="4"/>
  <c r="A78" i="4"/>
  <c r="L77" i="4"/>
  <c r="K77" i="4"/>
  <c r="H77" i="4"/>
  <c r="A77" i="4"/>
  <c r="L76" i="4"/>
  <c r="K76" i="4"/>
  <c r="H76" i="4"/>
  <c r="A76" i="4"/>
  <c r="L75" i="4"/>
  <c r="K75" i="4"/>
  <c r="H75" i="4"/>
  <c r="A75" i="4"/>
  <c r="L74" i="4"/>
  <c r="K74" i="4"/>
  <c r="H74" i="4"/>
  <c r="A74" i="4"/>
  <c r="L73" i="4"/>
  <c r="K73" i="4"/>
  <c r="H73" i="4"/>
  <c r="A73" i="4"/>
  <c r="L72" i="4"/>
  <c r="K72" i="4"/>
  <c r="H72" i="4"/>
  <c r="A72" i="4"/>
  <c r="L71" i="4"/>
  <c r="K71" i="4"/>
  <c r="H71" i="4"/>
  <c r="A71" i="4"/>
  <c r="L70" i="4"/>
  <c r="K70" i="4"/>
  <c r="H70" i="4"/>
  <c r="A70" i="4"/>
  <c r="L69" i="4"/>
  <c r="K69" i="4"/>
  <c r="H69" i="4"/>
  <c r="A69" i="4"/>
  <c r="L68" i="4"/>
  <c r="K68" i="4"/>
  <c r="H68" i="4"/>
  <c r="A68" i="4"/>
  <c r="L67" i="4"/>
  <c r="K67" i="4"/>
  <c r="H67" i="4"/>
  <c r="A67" i="4"/>
  <c r="L66" i="4"/>
  <c r="K66" i="4"/>
  <c r="H66" i="4"/>
  <c r="A66" i="4"/>
  <c r="L65" i="4"/>
  <c r="K65" i="4"/>
  <c r="H65" i="4"/>
  <c r="A65" i="4"/>
  <c r="L64" i="4"/>
  <c r="K64" i="4"/>
  <c r="H64" i="4"/>
  <c r="A64" i="4"/>
  <c r="L63" i="4"/>
  <c r="K63" i="4"/>
  <c r="H63" i="4"/>
  <c r="A63" i="4"/>
  <c r="L62" i="4"/>
  <c r="K62" i="4"/>
  <c r="H62" i="4"/>
  <c r="A62" i="4"/>
  <c r="L61" i="4"/>
  <c r="K61" i="4"/>
  <c r="H61" i="4"/>
  <c r="A61" i="4"/>
  <c r="L60" i="4"/>
  <c r="K60" i="4"/>
  <c r="H60" i="4"/>
  <c r="A60" i="4"/>
  <c r="L59" i="4"/>
  <c r="K59" i="4"/>
  <c r="H59" i="4"/>
  <c r="A59" i="4"/>
  <c r="L58" i="4"/>
  <c r="K58" i="4"/>
  <c r="H58" i="4"/>
  <c r="A58" i="4"/>
  <c r="L57" i="4"/>
  <c r="K57" i="4"/>
  <c r="H57" i="4"/>
  <c r="A57" i="4"/>
  <c r="L56" i="4"/>
  <c r="K56" i="4"/>
  <c r="H56" i="4"/>
  <c r="A56" i="4"/>
  <c r="L55" i="4"/>
  <c r="K55" i="4"/>
  <c r="H55" i="4"/>
  <c r="A55" i="4"/>
  <c r="L54" i="4"/>
  <c r="K54" i="4"/>
  <c r="H54" i="4"/>
  <c r="A54" i="4"/>
  <c r="L53" i="4"/>
  <c r="K53" i="4"/>
  <c r="H53" i="4"/>
  <c r="A53" i="4"/>
  <c r="L52" i="4"/>
  <c r="K52" i="4"/>
  <c r="H52" i="4"/>
  <c r="A52" i="4"/>
  <c r="L51" i="4"/>
  <c r="K51" i="4"/>
  <c r="H51" i="4"/>
  <c r="A51" i="4"/>
  <c r="L50" i="4"/>
  <c r="K50" i="4"/>
  <c r="H50" i="4"/>
  <c r="A50" i="4"/>
  <c r="L49" i="4"/>
  <c r="K49" i="4"/>
  <c r="H49" i="4"/>
  <c r="A49" i="4"/>
  <c r="L48" i="4"/>
  <c r="K48" i="4"/>
  <c r="H48" i="4"/>
  <c r="A48" i="4"/>
  <c r="L47" i="4"/>
  <c r="K47" i="4"/>
  <c r="H47" i="4"/>
  <c r="A47" i="4"/>
  <c r="L46" i="4"/>
  <c r="K46" i="4"/>
  <c r="H46" i="4"/>
  <c r="A46" i="4"/>
  <c r="L45" i="4"/>
  <c r="K45" i="4"/>
  <c r="H45" i="4"/>
  <c r="A45" i="4"/>
  <c r="L44" i="4"/>
  <c r="K44" i="4"/>
  <c r="H44" i="4"/>
  <c r="A44" i="4"/>
  <c r="L43" i="4"/>
  <c r="K43" i="4"/>
  <c r="H43" i="4"/>
  <c r="A43" i="4"/>
  <c r="L42" i="4"/>
  <c r="K42" i="4"/>
  <c r="H42" i="4"/>
  <c r="A42" i="4"/>
  <c r="L41" i="4"/>
  <c r="K41" i="4"/>
  <c r="H41" i="4"/>
  <c r="A41" i="4"/>
  <c r="L40" i="4"/>
  <c r="K40" i="4"/>
  <c r="H40" i="4"/>
  <c r="A40" i="4"/>
  <c r="L39" i="4"/>
  <c r="K39" i="4"/>
  <c r="H39" i="4"/>
  <c r="A39" i="4"/>
  <c r="L38" i="4"/>
  <c r="K38" i="4"/>
  <c r="H38" i="4"/>
  <c r="A38" i="4"/>
  <c r="L37" i="4"/>
  <c r="K37" i="4"/>
  <c r="H37" i="4"/>
  <c r="A37" i="4"/>
  <c r="L36" i="4"/>
  <c r="K36" i="4"/>
  <c r="H36" i="4"/>
  <c r="A36" i="4"/>
  <c r="L35" i="4"/>
  <c r="K35" i="4"/>
  <c r="H35" i="4"/>
  <c r="A35" i="4"/>
  <c r="L34" i="4"/>
  <c r="K34" i="4"/>
  <c r="H34" i="4"/>
  <c r="A34" i="4"/>
  <c r="L33" i="4"/>
  <c r="K33" i="4"/>
  <c r="H33" i="4"/>
  <c r="A33" i="4"/>
  <c r="L32" i="4"/>
  <c r="K32" i="4"/>
  <c r="H32" i="4"/>
  <c r="A32" i="4"/>
  <c r="L31" i="4"/>
  <c r="K31" i="4"/>
  <c r="H31" i="4"/>
  <c r="A31" i="4"/>
  <c r="L30" i="4"/>
  <c r="K30" i="4"/>
  <c r="H30" i="4"/>
  <c r="A30" i="4"/>
  <c r="L29" i="4"/>
  <c r="K29" i="4"/>
  <c r="H29" i="4"/>
  <c r="A29" i="4"/>
  <c r="L28" i="4"/>
  <c r="K28" i="4"/>
  <c r="H28" i="4"/>
  <c r="A28" i="4"/>
  <c r="L27" i="4"/>
  <c r="K27" i="4"/>
  <c r="H27" i="4"/>
  <c r="A27" i="4"/>
  <c r="L26" i="4"/>
  <c r="K26" i="4"/>
  <c r="H26" i="4"/>
  <c r="A26" i="4"/>
  <c r="L25" i="4"/>
  <c r="K25" i="4"/>
  <c r="H25" i="4"/>
  <c r="A25" i="4"/>
  <c r="L24" i="4"/>
  <c r="K24" i="4"/>
  <c r="H24" i="4"/>
  <c r="A24" i="4"/>
  <c r="L23" i="4"/>
  <c r="K23" i="4"/>
  <c r="H23" i="4"/>
  <c r="A23" i="4"/>
  <c r="L22" i="4"/>
  <c r="K22" i="4"/>
  <c r="H22" i="4"/>
  <c r="A22" i="4"/>
  <c r="L21" i="4"/>
  <c r="K21" i="4"/>
  <c r="H21" i="4"/>
  <c r="A21" i="4"/>
  <c r="L20" i="4"/>
  <c r="K20" i="4"/>
  <c r="H20" i="4"/>
  <c r="A20" i="4"/>
  <c r="L19" i="4"/>
  <c r="K19" i="4"/>
  <c r="H19" i="4"/>
  <c r="A19" i="4"/>
  <c r="L18" i="4"/>
  <c r="K18" i="4"/>
  <c r="H18" i="4"/>
  <c r="A18" i="4"/>
  <c r="L17" i="4"/>
  <c r="K17" i="4"/>
  <c r="H17" i="4"/>
  <c r="A17" i="4"/>
  <c r="L16" i="4"/>
  <c r="K16" i="4"/>
  <c r="H16" i="4"/>
  <c r="A16" i="4"/>
  <c r="L15" i="4"/>
  <c r="K15" i="4"/>
  <c r="H15" i="4"/>
  <c r="A15" i="4"/>
  <c r="L14" i="4"/>
  <c r="K14" i="4"/>
  <c r="H14" i="4"/>
  <c r="A14" i="4"/>
  <c r="L13" i="4"/>
  <c r="K13" i="4"/>
  <c r="H13" i="4"/>
  <c r="A13" i="4"/>
  <c r="L12" i="4"/>
  <c r="K12" i="4"/>
  <c r="H12" i="4"/>
  <c r="A12" i="4"/>
  <c r="L11" i="4"/>
  <c r="K11" i="4"/>
  <c r="H11" i="4"/>
  <c r="A11" i="4"/>
  <c r="L10" i="4"/>
  <c r="K10" i="4"/>
  <c r="H10" i="4"/>
  <c r="A10" i="4"/>
  <c r="L9" i="4"/>
  <c r="K9" i="4"/>
  <c r="H9" i="4"/>
  <c r="A9" i="4"/>
  <c r="L8" i="4"/>
  <c r="K8" i="4"/>
  <c r="H8" i="4"/>
  <c r="A8" i="4"/>
  <c r="A9" i="5" s="1"/>
  <c r="L7" i="4"/>
  <c r="K7" i="4"/>
  <c r="H7" i="4"/>
  <c r="A7" i="4"/>
  <c r="J35" i="2"/>
  <c r="I35" i="2"/>
  <c r="F35" i="2"/>
  <c r="G35" i="2" s="1"/>
  <c r="J34" i="2"/>
  <c r="I34" i="2"/>
  <c r="F34" i="2"/>
  <c r="G34" i="2" s="1"/>
  <c r="J33" i="2"/>
  <c r="I33" i="2"/>
  <c r="F33" i="2"/>
  <c r="G33" i="2" s="1"/>
  <c r="C33" i="2"/>
  <c r="D33" i="2" s="1"/>
  <c r="J32" i="2"/>
  <c r="I32" i="2"/>
  <c r="F32" i="2"/>
  <c r="G32" i="2" s="1"/>
  <c r="C32" i="2"/>
  <c r="D32" i="2" s="1"/>
  <c r="J31" i="2"/>
  <c r="I31" i="2"/>
  <c r="F31" i="2"/>
  <c r="G31" i="2" s="1"/>
  <c r="C31" i="2"/>
  <c r="D31" i="2" s="1"/>
  <c r="J30" i="2"/>
  <c r="I30" i="2"/>
  <c r="F30" i="2"/>
  <c r="G30" i="2" s="1"/>
  <c r="C30" i="2"/>
  <c r="D30" i="2" s="1"/>
  <c r="J29" i="2"/>
  <c r="I29" i="2"/>
  <c r="F29" i="2"/>
  <c r="G29" i="2" s="1"/>
  <c r="C29" i="2"/>
  <c r="D29" i="2" s="1"/>
  <c r="H24" i="2"/>
  <c r="H18" i="2"/>
  <c r="E18" i="2"/>
  <c r="B18" i="2"/>
  <c r="B12" i="2"/>
  <c r="H9" i="2"/>
  <c r="E9" i="2"/>
  <c r="B9" i="2"/>
  <c r="H12" i="2" l="1"/>
  <c r="E24" i="2"/>
  <c r="E12" i="2"/>
  <c r="B24" i="2"/>
  <c r="L11" i="5"/>
  <c r="T11" i="5"/>
  <c r="AB11" i="5"/>
  <c r="M12" i="5"/>
  <c r="U12" i="5"/>
  <c r="AC12" i="5"/>
  <c r="Q23" i="5"/>
  <c r="AA23" i="5"/>
  <c r="AC69" i="5"/>
  <c r="U69" i="5"/>
  <c r="M69" i="5"/>
  <c r="Z69" i="5"/>
  <c r="R69" i="5"/>
  <c r="J69" i="5"/>
  <c r="Y69" i="5"/>
  <c r="Q69" i="5"/>
  <c r="I69" i="5"/>
  <c r="T69" i="5"/>
  <c r="G69" i="5"/>
  <c r="AE69" i="5"/>
  <c r="S69" i="5"/>
  <c r="F69" i="5"/>
  <c r="AD69" i="5"/>
  <c r="P69" i="5"/>
  <c r="X69" i="5"/>
  <c r="L69" i="5"/>
  <c r="W69" i="5"/>
  <c r="K69" i="5"/>
  <c r="AB69" i="5"/>
  <c r="AA69" i="5"/>
  <c r="V69" i="5"/>
  <c r="O69" i="5"/>
  <c r="N69" i="5"/>
  <c r="H69" i="5"/>
  <c r="J8" i="5"/>
  <c r="R8" i="5"/>
  <c r="Z8" i="5"/>
  <c r="K9" i="5"/>
  <c r="S9" i="5"/>
  <c r="AA9" i="5"/>
  <c r="L10" i="5"/>
  <c r="T10" i="5"/>
  <c r="AB10" i="5"/>
  <c r="M11" i="5"/>
  <c r="U11" i="5"/>
  <c r="AC11" i="5"/>
  <c r="F12" i="5"/>
  <c r="N12" i="5"/>
  <c r="V12" i="5"/>
  <c r="AD12" i="5"/>
  <c r="H14" i="5"/>
  <c r="P14" i="5"/>
  <c r="X14" i="5"/>
  <c r="K15" i="5"/>
  <c r="T15" i="5"/>
  <c r="AC15" i="5"/>
  <c r="L17" i="5"/>
  <c r="U17" i="5"/>
  <c r="L19" i="5"/>
  <c r="U19" i="5"/>
  <c r="H23" i="5"/>
  <c r="R23" i="5"/>
  <c r="AB23" i="5"/>
  <c r="H26" i="5"/>
  <c r="V26" i="5"/>
  <c r="M27" i="5"/>
  <c r="Y27" i="5"/>
  <c r="AA28" i="5"/>
  <c r="S28" i="5"/>
  <c r="K28" i="5"/>
  <c r="AE28" i="5"/>
  <c r="W28" i="5"/>
  <c r="O28" i="5"/>
  <c r="G28" i="5"/>
  <c r="Q28" i="5"/>
  <c r="AD28" i="5"/>
  <c r="U31" i="5"/>
  <c r="X32" i="5"/>
  <c r="P32" i="5"/>
  <c r="H32" i="5"/>
  <c r="AE32" i="5"/>
  <c r="W32" i="5"/>
  <c r="O32" i="5"/>
  <c r="G32" i="5"/>
  <c r="AC32" i="5"/>
  <c r="U32" i="5"/>
  <c r="M32" i="5"/>
  <c r="AA32" i="5"/>
  <c r="S32" i="5"/>
  <c r="K32" i="5"/>
  <c r="R32" i="5"/>
  <c r="O33" i="5"/>
  <c r="N34" i="5"/>
  <c r="T35" i="5"/>
  <c r="U36" i="5"/>
  <c r="S42" i="5"/>
  <c r="AB44" i="5"/>
  <c r="K8" i="5"/>
  <c r="S8" i="5"/>
  <c r="AA8" i="5"/>
  <c r="L9" i="5"/>
  <c r="T9" i="5"/>
  <c r="AB9" i="5"/>
  <c r="M10" i="5"/>
  <c r="U10" i="5"/>
  <c r="AC10" i="5"/>
  <c r="F11" i="5"/>
  <c r="N11" i="5"/>
  <c r="V11" i="5"/>
  <c r="AD11" i="5"/>
  <c r="G12" i="5"/>
  <c r="O12" i="5"/>
  <c r="W12" i="5"/>
  <c r="AE12" i="5"/>
  <c r="L15" i="5"/>
  <c r="U15" i="5"/>
  <c r="Y17" i="5"/>
  <c r="Q17" i="5"/>
  <c r="I17" i="5"/>
  <c r="M17" i="5"/>
  <c r="V17" i="5"/>
  <c r="AE17" i="5"/>
  <c r="AA19" i="5"/>
  <c r="S19" i="5"/>
  <c r="K19" i="5"/>
  <c r="Z19" i="5"/>
  <c r="M19" i="5"/>
  <c r="V19" i="5"/>
  <c r="I23" i="5"/>
  <c r="S23" i="5"/>
  <c r="AC23" i="5"/>
  <c r="K26" i="5"/>
  <c r="O27" i="5"/>
  <c r="AB36" i="5"/>
  <c r="AA43" i="5"/>
  <c r="S43" i="5"/>
  <c r="K43" i="5"/>
  <c r="Z43" i="5"/>
  <c r="R43" i="5"/>
  <c r="J43" i="5"/>
  <c r="Y43" i="5"/>
  <c r="Q43" i="5"/>
  <c r="I43" i="5"/>
  <c r="X43" i="5"/>
  <c r="P43" i="5"/>
  <c r="H43" i="5"/>
  <c r="AD43" i="5"/>
  <c r="V43" i="5"/>
  <c r="N43" i="5"/>
  <c r="F43" i="5"/>
  <c r="W43" i="5"/>
  <c r="AA44" i="5"/>
  <c r="S44" i="5"/>
  <c r="K44" i="5"/>
  <c r="Z44" i="5"/>
  <c r="R44" i="5"/>
  <c r="J44" i="5"/>
  <c r="Y44" i="5"/>
  <c r="Q44" i="5"/>
  <c r="I44" i="5"/>
  <c r="AE44" i="5"/>
  <c r="W44" i="5"/>
  <c r="O44" i="5"/>
  <c r="G44" i="5"/>
  <c r="X44" i="5"/>
  <c r="Y51" i="5"/>
  <c r="O51" i="5"/>
  <c r="X51" i="5"/>
  <c r="M51" i="5"/>
  <c r="W51" i="5"/>
  <c r="K51" i="5"/>
  <c r="U51" i="5"/>
  <c r="J51" i="5"/>
  <c r="AC51" i="5"/>
  <c r="R51" i="5"/>
  <c r="H51" i="5"/>
  <c r="AA51" i="5"/>
  <c r="Q51" i="5"/>
  <c r="G51" i="5"/>
  <c r="L8" i="5"/>
  <c r="T8" i="5"/>
  <c r="AB8" i="5"/>
  <c r="M9" i="5"/>
  <c r="U9" i="5"/>
  <c r="AC9" i="5"/>
  <c r="G11" i="5"/>
  <c r="O11" i="5"/>
  <c r="W11" i="5"/>
  <c r="AE11" i="5"/>
  <c r="H12" i="5"/>
  <c r="P12" i="5"/>
  <c r="X12" i="5"/>
  <c r="AE15" i="5"/>
  <c r="W15" i="5"/>
  <c r="O15" i="5"/>
  <c r="G15" i="5"/>
  <c r="M15" i="5"/>
  <c r="V15" i="5"/>
  <c r="N17" i="5"/>
  <c r="W17" i="5"/>
  <c r="N19" i="5"/>
  <c r="W19" i="5"/>
  <c r="J23" i="5"/>
  <c r="T23" i="5"/>
  <c r="AA27" i="5"/>
  <c r="S27" i="5"/>
  <c r="K27" i="5"/>
  <c r="Z27" i="5"/>
  <c r="R27" i="5"/>
  <c r="J27" i="5"/>
  <c r="AD27" i="5"/>
  <c r="V27" i="5"/>
  <c r="N27" i="5"/>
  <c r="F27" i="5"/>
  <c r="P27" i="5"/>
  <c r="AC27" i="5"/>
  <c r="AA35" i="5"/>
  <c r="S35" i="5"/>
  <c r="K35" i="5"/>
  <c r="Z35" i="5"/>
  <c r="R35" i="5"/>
  <c r="J35" i="5"/>
  <c r="Y35" i="5"/>
  <c r="Q35" i="5"/>
  <c r="I35" i="5"/>
  <c r="X35" i="5"/>
  <c r="P35" i="5"/>
  <c r="H35" i="5"/>
  <c r="AD35" i="5"/>
  <c r="V35" i="5"/>
  <c r="N35" i="5"/>
  <c r="F35" i="5"/>
  <c r="W35" i="5"/>
  <c r="AA36" i="5"/>
  <c r="S36" i="5"/>
  <c r="K36" i="5"/>
  <c r="Z36" i="5"/>
  <c r="R36" i="5"/>
  <c r="J36" i="5"/>
  <c r="Y36" i="5"/>
  <c r="Q36" i="5"/>
  <c r="I36" i="5"/>
  <c r="AE36" i="5"/>
  <c r="W36" i="5"/>
  <c r="O36" i="5"/>
  <c r="G36" i="5"/>
  <c r="X36" i="5"/>
  <c r="Z42" i="5"/>
  <c r="R42" i="5"/>
  <c r="J42" i="5"/>
  <c r="Y42" i="5"/>
  <c r="Q42" i="5"/>
  <c r="I42" i="5"/>
  <c r="X42" i="5"/>
  <c r="P42" i="5"/>
  <c r="H42" i="5"/>
  <c r="AE42" i="5"/>
  <c r="W42" i="5"/>
  <c r="O42" i="5"/>
  <c r="G42" i="5"/>
  <c r="AC42" i="5"/>
  <c r="U42" i="5"/>
  <c r="M42" i="5"/>
  <c r="V42" i="5"/>
  <c r="AB43" i="5"/>
  <c r="M8" i="5"/>
  <c r="U8" i="5"/>
  <c r="AC8" i="5"/>
  <c r="F9" i="5"/>
  <c r="N9" i="5"/>
  <c r="V9" i="5"/>
  <c r="H11" i="5"/>
  <c r="P11" i="5"/>
  <c r="X11" i="5"/>
  <c r="I12" i="5"/>
  <c r="Q12" i="5"/>
  <c r="Y12" i="5"/>
  <c r="N15" i="5"/>
  <c r="X15" i="5"/>
  <c r="F17" i="5"/>
  <c r="O17" i="5"/>
  <c r="F19" i="5"/>
  <c r="O19" i="5"/>
  <c r="K23" i="5"/>
  <c r="U23" i="5"/>
  <c r="Q27" i="5"/>
  <c r="AE27" i="5"/>
  <c r="AE33" i="5"/>
  <c r="AD33" i="5"/>
  <c r="V33" i="5"/>
  <c r="N33" i="5"/>
  <c r="F33" i="5"/>
  <c r="U33" i="5"/>
  <c r="Z34" i="5"/>
  <c r="R34" i="5"/>
  <c r="J34" i="5"/>
  <c r="Y34" i="5"/>
  <c r="Q34" i="5"/>
  <c r="I34" i="5"/>
  <c r="X34" i="5"/>
  <c r="P34" i="5"/>
  <c r="H34" i="5"/>
  <c r="AE34" i="5"/>
  <c r="W34" i="5"/>
  <c r="O34" i="5"/>
  <c r="G34" i="5"/>
  <c r="AC34" i="5"/>
  <c r="U34" i="5"/>
  <c r="M34" i="5"/>
  <c r="V34" i="5"/>
  <c r="AB35" i="5"/>
  <c r="F36" i="5"/>
  <c r="AC36" i="5"/>
  <c r="AA42" i="5"/>
  <c r="G43" i="5"/>
  <c r="AA57" i="5"/>
  <c r="S57" i="5"/>
  <c r="K57" i="5"/>
  <c r="AE57" i="5"/>
  <c r="W57" i="5"/>
  <c r="O57" i="5"/>
  <c r="G57" i="5"/>
  <c r="Q57" i="5"/>
  <c r="P57" i="5"/>
  <c r="AD57" i="5"/>
  <c r="N57" i="5"/>
  <c r="AC57" i="5"/>
  <c r="M57" i="5"/>
  <c r="Y57" i="5"/>
  <c r="I57" i="5"/>
  <c r="X57" i="5"/>
  <c r="H57" i="5"/>
  <c r="V57" i="5"/>
  <c r="F57" i="5"/>
  <c r="F8" i="5"/>
  <c r="N8" i="5"/>
  <c r="V8" i="5"/>
  <c r="AD8" i="5"/>
  <c r="G9" i="5"/>
  <c r="O9" i="5"/>
  <c r="W9" i="5"/>
  <c r="AE9" i="5"/>
  <c r="H10" i="5"/>
  <c r="P10" i="5"/>
  <c r="I11" i="5"/>
  <c r="Q11" i="5"/>
  <c r="Y11" i="5"/>
  <c r="J12" i="5"/>
  <c r="R12" i="5"/>
  <c r="Z12" i="5"/>
  <c r="L14" i="5"/>
  <c r="T14" i="5"/>
  <c r="AB14" i="5"/>
  <c r="F15" i="5"/>
  <c r="P15" i="5"/>
  <c r="Y15" i="5"/>
  <c r="G17" i="5"/>
  <c r="P17" i="5"/>
  <c r="Z17" i="5"/>
  <c r="G19" i="5"/>
  <c r="P19" i="5"/>
  <c r="Y19" i="5"/>
  <c r="L23" i="5"/>
  <c r="X23" i="5"/>
  <c r="Z26" i="5"/>
  <c r="R26" i="5"/>
  <c r="J26" i="5"/>
  <c r="Y26" i="5"/>
  <c r="Q26" i="5"/>
  <c r="I26" i="5"/>
  <c r="AC26" i="5"/>
  <c r="U26" i="5"/>
  <c r="M26" i="5"/>
  <c r="O26" i="5"/>
  <c r="AB26" i="5"/>
  <c r="G27" i="5"/>
  <c r="T27" i="5"/>
  <c r="G33" i="5"/>
  <c r="W33" i="5"/>
  <c r="AA34" i="5"/>
  <c r="G35" i="5"/>
  <c r="AC35" i="5"/>
  <c r="H36" i="5"/>
  <c r="AD36" i="5"/>
  <c r="F42" i="5"/>
  <c r="AB42" i="5"/>
  <c r="L43" i="5"/>
  <c r="AE43" i="5"/>
  <c r="M44" i="5"/>
  <c r="S51" i="5"/>
  <c r="U57" i="5"/>
  <c r="G8" i="5"/>
  <c r="O8" i="5"/>
  <c r="W8" i="5"/>
  <c r="AE8" i="5"/>
  <c r="H9" i="5"/>
  <c r="P9" i="5"/>
  <c r="X9" i="5"/>
  <c r="I10" i="5"/>
  <c r="Q10" i="5"/>
  <c r="Y10" i="5"/>
  <c r="J11" i="5"/>
  <c r="R11" i="5"/>
  <c r="Z11" i="5"/>
  <c r="K12" i="5"/>
  <c r="S12" i="5"/>
  <c r="L13" i="5"/>
  <c r="T13" i="5"/>
  <c r="AB13" i="5"/>
  <c r="M14" i="5"/>
  <c r="U14" i="5"/>
  <c r="AC14" i="5"/>
  <c r="H15" i="5"/>
  <c r="Q15" i="5"/>
  <c r="Z15" i="5"/>
  <c r="X16" i="5"/>
  <c r="P16" i="5"/>
  <c r="H16" i="5"/>
  <c r="M16" i="5"/>
  <c r="V16" i="5"/>
  <c r="AE16" i="5"/>
  <c r="H17" i="5"/>
  <c r="R17" i="5"/>
  <c r="AA17" i="5"/>
  <c r="Z18" i="5"/>
  <c r="R18" i="5"/>
  <c r="J18" i="5"/>
  <c r="M18" i="5"/>
  <c r="V18" i="5"/>
  <c r="AE18" i="5"/>
  <c r="H19" i="5"/>
  <c r="Q19" i="5"/>
  <c r="AB19" i="5"/>
  <c r="AA20" i="5"/>
  <c r="S20" i="5"/>
  <c r="K20" i="5"/>
  <c r="O20" i="5"/>
  <c r="Y20" i="5"/>
  <c r="M23" i="5"/>
  <c r="X24" i="5"/>
  <c r="P24" i="5"/>
  <c r="H24" i="5"/>
  <c r="AE24" i="5"/>
  <c r="W24" i="5"/>
  <c r="O24" i="5"/>
  <c r="G24" i="5"/>
  <c r="N24" i="5"/>
  <c r="Z24" i="5"/>
  <c r="Y25" i="5"/>
  <c r="Q25" i="5"/>
  <c r="I25" i="5"/>
  <c r="X25" i="5"/>
  <c r="P25" i="5"/>
  <c r="H25" i="5"/>
  <c r="AB25" i="5"/>
  <c r="T25" i="5"/>
  <c r="N25" i="5"/>
  <c r="AA25" i="5"/>
  <c r="P26" i="5"/>
  <c r="AD26" i="5"/>
  <c r="H27" i="5"/>
  <c r="U27" i="5"/>
  <c r="M28" i="5"/>
  <c r="Y28" i="5"/>
  <c r="AD30" i="5"/>
  <c r="V30" i="5"/>
  <c r="N30" i="5"/>
  <c r="F30" i="5"/>
  <c r="AC30" i="5"/>
  <c r="U30" i="5"/>
  <c r="M30" i="5"/>
  <c r="AA30" i="5"/>
  <c r="S30" i="5"/>
  <c r="K30" i="5"/>
  <c r="Y30" i="5"/>
  <c r="Q30" i="5"/>
  <c r="I30" i="5"/>
  <c r="R30" i="5"/>
  <c r="P31" i="5"/>
  <c r="L32" i="5"/>
  <c r="AB32" i="5"/>
  <c r="J33" i="5"/>
  <c r="Z33" i="5"/>
  <c r="F34" i="5"/>
  <c r="AB34" i="5"/>
  <c r="L35" i="5"/>
  <c r="AE35" i="5"/>
  <c r="M36" i="5"/>
  <c r="AE41" i="5"/>
  <c r="W41" i="5"/>
  <c r="O41" i="5"/>
  <c r="G41" i="5"/>
  <c r="AD41" i="5"/>
  <c r="V41" i="5"/>
  <c r="N41" i="5"/>
  <c r="F41" i="5"/>
  <c r="AA41" i="5"/>
  <c r="K42" i="5"/>
  <c r="AD42" i="5"/>
  <c r="M43" i="5"/>
  <c r="N44" i="5"/>
  <c r="Z51" i="5"/>
  <c r="H8" i="5"/>
  <c r="P8" i="5"/>
  <c r="I9" i="5"/>
  <c r="Q9" i="5"/>
  <c r="J10" i="5"/>
  <c r="R10" i="5"/>
  <c r="K11" i="5"/>
  <c r="S11" i="5"/>
  <c r="L12" i="5"/>
  <c r="T12" i="5"/>
  <c r="M13" i="5"/>
  <c r="U13" i="5"/>
  <c r="F14" i="5"/>
  <c r="N14" i="5"/>
  <c r="V14" i="5"/>
  <c r="AE14" i="5"/>
  <c r="I15" i="5"/>
  <c r="R15" i="5"/>
  <c r="AA15" i="5"/>
  <c r="N16" i="5"/>
  <c r="W16" i="5"/>
  <c r="J17" i="5"/>
  <c r="S17" i="5"/>
  <c r="AB17" i="5"/>
  <c r="N18" i="5"/>
  <c r="W18" i="5"/>
  <c r="I19" i="5"/>
  <c r="R19" i="5"/>
  <c r="AC19" i="5"/>
  <c r="F20" i="5"/>
  <c r="P20" i="5"/>
  <c r="Z20" i="5"/>
  <c r="AD22" i="5"/>
  <c r="V22" i="5"/>
  <c r="N22" i="5"/>
  <c r="F22" i="5"/>
  <c r="AC22" i="5"/>
  <c r="U22" i="5"/>
  <c r="M22" i="5"/>
  <c r="O22" i="5"/>
  <c r="Y22" i="5"/>
  <c r="AE23" i="5"/>
  <c r="W23" i="5"/>
  <c r="O23" i="5"/>
  <c r="G23" i="5"/>
  <c r="AD23" i="5"/>
  <c r="V23" i="5"/>
  <c r="N23" i="5"/>
  <c r="F23" i="5"/>
  <c r="P23" i="5"/>
  <c r="Z23" i="5"/>
  <c r="Q24" i="5"/>
  <c r="AA24" i="5"/>
  <c r="O25" i="5"/>
  <c r="AC25" i="5"/>
  <c r="F26" i="5"/>
  <c r="S26" i="5"/>
  <c r="AE26" i="5"/>
  <c r="I27" i="5"/>
  <c r="W27" i="5"/>
  <c r="N28" i="5"/>
  <c r="Z28" i="5"/>
  <c r="T30" i="5"/>
  <c r="N32" i="5"/>
  <c r="AD32" i="5"/>
  <c r="K33" i="5"/>
  <c r="AA33" i="5"/>
  <c r="K34" i="5"/>
  <c r="AD34" i="5"/>
  <c r="M35" i="5"/>
  <c r="N36" i="5"/>
  <c r="X40" i="5"/>
  <c r="P40" i="5"/>
  <c r="H40" i="5"/>
  <c r="AE40" i="5"/>
  <c r="W40" i="5"/>
  <c r="O40" i="5"/>
  <c r="G40" i="5"/>
  <c r="AD40" i="5"/>
  <c r="V40" i="5"/>
  <c r="N40" i="5"/>
  <c r="F40" i="5"/>
  <c r="AC40" i="5"/>
  <c r="U40" i="5"/>
  <c r="M40" i="5"/>
  <c r="AA40" i="5"/>
  <c r="S40" i="5"/>
  <c r="K40" i="5"/>
  <c r="Y40" i="5"/>
  <c r="J41" i="5"/>
  <c r="AC41" i="5"/>
  <c r="L42" i="5"/>
  <c r="O43" i="5"/>
  <c r="P44" i="5"/>
  <c r="Z47" i="5"/>
  <c r="R47" i="5"/>
  <c r="J47" i="5"/>
  <c r="X47" i="5"/>
  <c r="P47" i="5"/>
  <c r="H47" i="5"/>
  <c r="AD47" i="5"/>
  <c r="T47" i="5"/>
  <c r="I47" i="5"/>
  <c r="AC47" i="5"/>
  <c r="S47" i="5"/>
  <c r="G47" i="5"/>
  <c r="AB47" i="5"/>
  <c r="Q47" i="5"/>
  <c r="F47" i="5"/>
  <c r="AA47" i="5"/>
  <c r="O47" i="5"/>
  <c r="W47" i="5"/>
  <c r="M47" i="5"/>
  <c r="AE47" i="5"/>
  <c r="AE51" i="5"/>
  <c r="X54" i="5"/>
  <c r="P54" i="5"/>
  <c r="H54" i="5"/>
  <c r="U54" i="5"/>
  <c r="U62" i="5"/>
  <c r="AA64" i="5"/>
  <c r="S64" i="5"/>
  <c r="K64" i="5"/>
  <c r="Z64" i="5"/>
  <c r="R64" i="5"/>
  <c r="J64" i="5"/>
  <c r="Y64" i="5"/>
  <c r="Q64" i="5"/>
  <c r="I64" i="5"/>
  <c r="AD64" i="5"/>
  <c r="V64" i="5"/>
  <c r="N64" i="5"/>
  <c r="F64" i="5"/>
  <c r="AC64" i="5"/>
  <c r="U64" i="5"/>
  <c r="M64" i="5"/>
  <c r="W64" i="5"/>
  <c r="AC74" i="5"/>
  <c r="P74" i="5"/>
  <c r="AB74" i="5"/>
  <c r="M74" i="5"/>
  <c r="AA74" i="5"/>
  <c r="L74" i="5"/>
  <c r="U74" i="5"/>
  <c r="I74" i="5"/>
  <c r="T74" i="5"/>
  <c r="H74" i="5"/>
  <c r="V75" i="5"/>
  <c r="F75" i="5"/>
  <c r="Q75" i="5"/>
  <c r="Z95" i="5"/>
  <c r="R95" i="5"/>
  <c r="J95" i="5"/>
  <c r="AD95" i="5"/>
  <c r="V95" i="5"/>
  <c r="N95" i="5"/>
  <c r="F95" i="5"/>
  <c r="X95" i="5"/>
  <c r="U95" i="5"/>
  <c r="S95" i="5"/>
  <c r="P95" i="5"/>
  <c r="M95" i="5"/>
  <c r="K95" i="5"/>
  <c r="AC95" i="5"/>
  <c r="H95" i="5"/>
  <c r="AA95" i="5"/>
  <c r="J31" i="5"/>
  <c r="R31" i="5"/>
  <c r="Z31" i="5"/>
  <c r="L33" i="5"/>
  <c r="T33" i="5"/>
  <c r="AB33" i="5"/>
  <c r="I38" i="5"/>
  <c r="Q38" i="5"/>
  <c r="Y38" i="5"/>
  <c r="J39" i="5"/>
  <c r="R39" i="5"/>
  <c r="Z39" i="5"/>
  <c r="L41" i="5"/>
  <c r="T41" i="5"/>
  <c r="AB41" i="5"/>
  <c r="I46" i="5"/>
  <c r="Q46" i="5"/>
  <c r="Y46" i="5"/>
  <c r="L48" i="5"/>
  <c r="M53" i="5"/>
  <c r="F54" i="5"/>
  <c r="V54" i="5"/>
  <c r="Z55" i="5"/>
  <c r="R55" i="5"/>
  <c r="J55" i="5"/>
  <c r="Y55" i="5"/>
  <c r="Q55" i="5"/>
  <c r="I55" i="5"/>
  <c r="X55" i="5"/>
  <c r="P55" i="5"/>
  <c r="H55" i="5"/>
  <c r="AC55" i="5"/>
  <c r="U55" i="5"/>
  <c r="M55" i="5"/>
  <c r="S55" i="5"/>
  <c r="M56" i="5"/>
  <c r="Y62" i="5"/>
  <c r="X64" i="5"/>
  <c r="K74" i="5"/>
  <c r="N75" i="5"/>
  <c r="X62" i="5"/>
  <c r="P62" i="5"/>
  <c r="H62" i="5"/>
  <c r="AA62" i="5"/>
  <c r="S62" i="5"/>
  <c r="K62" i="5"/>
  <c r="Z62" i="5"/>
  <c r="L31" i="5"/>
  <c r="T31" i="5"/>
  <c r="AB31" i="5"/>
  <c r="K38" i="5"/>
  <c r="S38" i="5"/>
  <c r="AA38" i="5"/>
  <c r="L39" i="5"/>
  <c r="T39" i="5"/>
  <c r="AB39" i="5"/>
  <c r="K46" i="5"/>
  <c r="S46" i="5"/>
  <c r="AA46" i="5"/>
  <c r="AA48" i="5"/>
  <c r="S48" i="5"/>
  <c r="K48" i="5"/>
  <c r="Y48" i="5"/>
  <c r="Q48" i="5"/>
  <c r="I48" i="5"/>
  <c r="N48" i="5"/>
  <c r="X48" i="5"/>
  <c r="X53" i="5"/>
  <c r="P53" i="5"/>
  <c r="H53" i="5"/>
  <c r="AE53" i="5"/>
  <c r="AD53" i="5"/>
  <c r="V53" i="5"/>
  <c r="N53" i="5"/>
  <c r="F53" i="5"/>
  <c r="AA53" i="5"/>
  <c r="S53" i="5"/>
  <c r="K53" i="5"/>
  <c r="Q53" i="5"/>
  <c r="AC53" i="5"/>
  <c r="K54" i="5"/>
  <c r="AA54" i="5"/>
  <c r="X61" i="5"/>
  <c r="P61" i="5"/>
  <c r="H61" i="5"/>
  <c r="AE61" i="5"/>
  <c r="W61" i="5"/>
  <c r="O61" i="5"/>
  <c r="G61" i="5"/>
  <c r="AD61" i="5"/>
  <c r="V61" i="5"/>
  <c r="N61" i="5"/>
  <c r="F61" i="5"/>
  <c r="AA61" i="5"/>
  <c r="S61" i="5"/>
  <c r="K61" i="5"/>
  <c r="Z61" i="5"/>
  <c r="R61" i="5"/>
  <c r="J61" i="5"/>
  <c r="Y61" i="5"/>
  <c r="F62" i="5"/>
  <c r="AC62" i="5"/>
  <c r="H64" i="5"/>
  <c r="AE64" i="5"/>
  <c r="T70" i="5"/>
  <c r="G70" i="5"/>
  <c r="AB70" i="5"/>
  <c r="O70" i="5"/>
  <c r="X74" i="5"/>
  <c r="AD75" i="5"/>
  <c r="L38" i="5"/>
  <c r="T38" i="5"/>
  <c r="AB38" i="5"/>
  <c r="M39" i="5"/>
  <c r="U39" i="5"/>
  <c r="L46" i="5"/>
  <c r="T46" i="5"/>
  <c r="AB46" i="5"/>
  <c r="O48" i="5"/>
  <c r="Z48" i="5"/>
  <c r="R53" i="5"/>
  <c r="M54" i="5"/>
  <c r="AC54" i="5"/>
  <c r="AA56" i="5"/>
  <c r="S56" i="5"/>
  <c r="K56" i="5"/>
  <c r="Z56" i="5"/>
  <c r="R56" i="5"/>
  <c r="J56" i="5"/>
  <c r="Y56" i="5"/>
  <c r="Q56" i="5"/>
  <c r="I56" i="5"/>
  <c r="AD56" i="5"/>
  <c r="V56" i="5"/>
  <c r="N56" i="5"/>
  <c r="F56" i="5"/>
  <c r="T56" i="5"/>
  <c r="AB61" i="5"/>
  <c r="J62" i="5"/>
  <c r="AD62" i="5"/>
  <c r="L64" i="5"/>
  <c r="M70" i="5"/>
  <c r="AC71" i="5"/>
  <c r="P71" i="5"/>
  <c r="Z71" i="5"/>
  <c r="N71" i="5"/>
  <c r="Y71" i="5"/>
  <c r="M71" i="5"/>
  <c r="X71" i="5"/>
  <c r="J71" i="5"/>
  <c r="U71" i="5"/>
  <c r="H71" i="5"/>
  <c r="R71" i="5"/>
  <c r="F71" i="5"/>
  <c r="L21" i="5"/>
  <c r="T21" i="5"/>
  <c r="AB21" i="5"/>
  <c r="L29" i="5"/>
  <c r="T29" i="5"/>
  <c r="AB29" i="5"/>
  <c r="F31" i="5"/>
  <c r="N31" i="5"/>
  <c r="V31" i="5"/>
  <c r="AD31" i="5"/>
  <c r="H33" i="5"/>
  <c r="P33" i="5"/>
  <c r="X33" i="5"/>
  <c r="L37" i="5"/>
  <c r="T37" i="5"/>
  <c r="AB37" i="5"/>
  <c r="M38" i="5"/>
  <c r="U38" i="5"/>
  <c r="AC38" i="5"/>
  <c r="F39" i="5"/>
  <c r="N39" i="5"/>
  <c r="V39" i="5"/>
  <c r="AD39" i="5"/>
  <c r="H41" i="5"/>
  <c r="P41" i="5"/>
  <c r="X41" i="5"/>
  <c r="L45" i="5"/>
  <c r="T45" i="5"/>
  <c r="AB45" i="5"/>
  <c r="M46" i="5"/>
  <c r="U46" i="5"/>
  <c r="AC46" i="5"/>
  <c r="F48" i="5"/>
  <c r="P48" i="5"/>
  <c r="AB48" i="5"/>
  <c r="O49" i="5"/>
  <c r="Y49" i="5"/>
  <c r="AC50" i="5"/>
  <c r="U50" i="5"/>
  <c r="M50" i="5"/>
  <c r="AA50" i="5"/>
  <c r="S50" i="5"/>
  <c r="K50" i="5"/>
  <c r="N50" i="5"/>
  <c r="X50" i="5"/>
  <c r="G53" i="5"/>
  <c r="T53" i="5"/>
  <c r="N54" i="5"/>
  <c r="AD54" i="5"/>
  <c r="K55" i="5"/>
  <c r="AA55" i="5"/>
  <c r="U56" i="5"/>
  <c r="AE60" i="5"/>
  <c r="W60" i="5"/>
  <c r="O60" i="5"/>
  <c r="G60" i="5"/>
  <c r="AD60" i="5"/>
  <c r="V60" i="5"/>
  <c r="N60" i="5"/>
  <c r="F60" i="5"/>
  <c r="AC60" i="5"/>
  <c r="U60" i="5"/>
  <c r="M60" i="5"/>
  <c r="Z60" i="5"/>
  <c r="R60" i="5"/>
  <c r="J60" i="5"/>
  <c r="Y60" i="5"/>
  <c r="Q60" i="5"/>
  <c r="I60" i="5"/>
  <c r="X60" i="5"/>
  <c r="I61" i="5"/>
  <c r="AC61" i="5"/>
  <c r="M62" i="5"/>
  <c r="O64" i="5"/>
  <c r="Q70" i="5"/>
  <c r="I71" i="5"/>
  <c r="AE86" i="5"/>
  <c r="AC86" i="5"/>
  <c r="Y86" i="5"/>
  <c r="Q86" i="5"/>
  <c r="L86" i="5"/>
  <c r="L20" i="5"/>
  <c r="T20" i="5"/>
  <c r="M21" i="5"/>
  <c r="U21" i="5"/>
  <c r="L28" i="5"/>
  <c r="T28" i="5"/>
  <c r="M29" i="5"/>
  <c r="U29" i="5"/>
  <c r="G31" i="5"/>
  <c r="O31" i="5"/>
  <c r="W31" i="5"/>
  <c r="I33" i="5"/>
  <c r="Q33" i="5"/>
  <c r="L36" i="5"/>
  <c r="T36" i="5"/>
  <c r="M37" i="5"/>
  <c r="U37" i="5"/>
  <c r="F38" i="5"/>
  <c r="N38" i="5"/>
  <c r="V38" i="5"/>
  <c r="G39" i="5"/>
  <c r="O39" i="5"/>
  <c r="W39" i="5"/>
  <c r="I41" i="5"/>
  <c r="Q41" i="5"/>
  <c r="L44" i="5"/>
  <c r="T44" i="5"/>
  <c r="M45" i="5"/>
  <c r="U45" i="5"/>
  <c r="F46" i="5"/>
  <c r="N46" i="5"/>
  <c r="V46" i="5"/>
  <c r="AD46" i="5"/>
  <c r="G48" i="5"/>
  <c r="R48" i="5"/>
  <c r="AC48" i="5"/>
  <c r="F49" i="5"/>
  <c r="P49" i="5"/>
  <c r="O50" i="5"/>
  <c r="Y50" i="5"/>
  <c r="AD51" i="5"/>
  <c r="AE52" i="5"/>
  <c r="W52" i="5"/>
  <c r="O52" i="5"/>
  <c r="G52" i="5"/>
  <c r="AC52" i="5"/>
  <c r="U52" i="5"/>
  <c r="M52" i="5"/>
  <c r="Z52" i="5"/>
  <c r="R52" i="5"/>
  <c r="J52" i="5"/>
  <c r="P52" i="5"/>
  <c r="AB52" i="5"/>
  <c r="I53" i="5"/>
  <c r="U53" i="5"/>
  <c r="R54" i="5"/>
  <c r="L55" i="5"/>
  <c r="AB55" i="5"/>
  <c r="G56" i="5"/>
  <c r="W56" i="5"/>
  <c r="AB57" i="5"/>
  <c r="AA60" i="5"/>
  <c r="L61" i="5"/>
  <c r="N62" i="5"/>
  <c r="P64" i="5"/>
  <c r="Y70" i="5"/>
  <c r="Q71" i="5"/>
  <c r="R86" i="5"/>
  <c r="L63" i="5"/>
  <c r="T63" i="5"/>
  <c r="AB63" i="5"/>
  <c r="AA67" i="5"/>
  <c r="S67" i="5"/>
  <c r="K67" i="5"/>
  <c r="X67" i="5"/>
  <c r="P67" i="5"/>
  <c r="H67" i="5"/>
  <c r="AE67" i="5"/>
  <c r="W67" i="5"/>
  <c r="O67" i="5"/>
  <c r="G67" i="5"/>
  <c r="Q67" i="5"/>
  <c r="AC67" i="5"/>
  <c r="P82" i="5"/>
  <c r="Y94" i="5"/>
  <c r="Q94" i="5"/>
  <c r="I94" i="5"/>
  <c r="X94" i="5"/>
  <c r="P94" i="5"/>
  <c r="H94" i="5"/>
  <c r="AD94" i="5"/>
  <c r="V94" i="5"/>
  <c r="N94" i="5"/>
  <c r="F94" i="5"/>
  <c r="AC94" i="5"/>
  <c r="U94" i="5"/>
  <c r="M94" i="5"/>
  <c r="AA94" i="5"/>
  <c r="S94" i="5"/>
  <c r="K94" i="5"/>
  <c r="T94" i="5"/>
  <c r="R94" i="5"/>
  <c r="O94" i="5"/>
  <c r="L94" i="5"/>
  <c r="AE94" i="5"/>
  <c r="J94" i="5"/>
  <c r="AB94" i="5"/>
  <c r="G94" i="5"/>
  <c r="Z94" i="5"/>
  <c r="L54" i="5"/>
  <c r="T54" i="5"/>
  <c r="AB54" i="5"/>
  <c r="H58" i="5"/>
  <c r="P58" i="5"/>
  <c r="X58" i="5"/>
  <c r="I59" i="5"/>
  <c r="Q59" i="5"/>
  <c r="Y59" i="5"/>
  <c r="L62" i="5"/>
  <c r="T62" i="5"/>
  <c r="AB62" i="5"/>
  <c r="M63" i="5"/>
  <c r="U63" i="5"/>
  <c r="AC63" i="5"/>
  <c r="L66" i="5"/>
  <c r="Y66" i="5"/>
  <c r="R67" i="5"/>
  <c r="AD67" i="5"/>
  <c r="AD70" i="5"/>
  <c r="V70" i="5"/>
  <c r="N70" i="5"/>
  <c r="F70" i="5"/>
  <c r="AA70" i="5"/>
  <c r="S70" i="5"/>
  <c r="K70" i="5"/>
  <c r="Z70" i="5"/>
  <c r="R70" i="5"/>
  <c r="J70" i="5"/>
  <c r="P70" i="5"/>
  <c r="AC70" i="5"/>
  <c r="Y73" i="5"/>
  <c r="Q73" i="5"/>
  <c r="I73" i="5"/>
  <c r="AD73" i="5"/>
  <c r="V73" i="5"/>
  <c r="N73" i="5"/>
  <c r="F73" i="5"/>
  <c r="AC73" i="5"/>
  <c r="U73" i="5"/>
  <c r="M73" i="5"/>
  <c r="P73" i="5"/>
  <c r="AB73" i="5"/>
  <c r="AA75" i="5"/>
  <c r="S75" i="5"/>
  <c r="K75" i="5"/>
  <c r="Z75" i="5"/>
  <c r="R75" i="5"/>
  <c r="J75" i="5"/>
  <c r="X75" i="5"/>
  <c r="P75" i="5"/>
  <c r="H75" i="5"/>
  <c r="AE75" i="5"/>
  <c r="W75" i="5"/>
  <c r="O75" i="5"/>
  <c r="G75" i="5"/>
  <c r="T75" i="5"/>
  <c r="AD78" i="5"/>
  <c r="V78" i="5"/>
  <c r="N78" i="5"/>
  <c r="F78" i="5"/>
  <c r="AC78" i="5"/>
  <c r="U78" i="5"/>
  <c r="M78" i="5"/>
  <c r="AA78" i="5"/>
  <c r="S78" i="5"/>
  <c r="K78" i="5"/>
  <c r="Z78" i="5"/>
  <c r="R78" i="5"/>
  <c r="J78" i="5"/>
  <c r="Y78" i="5"/>
  <c r="Q78" i="5"/>
  <c r="I78" i="5"/>
  <c r="W78" i="5"/>
  <c r="AD79" i="5"/>
  <c r="V79" i="5"/>
  <c r="N79" i="5"/>
  <c r="F79" i="5"/>
  <c r="Z79" i="5"/>
  <c r="R79" i="5"/>
  <c r="J79" i="5"/>
  <c r="Y79" i="5"/>
  <c r="AC83" i="5"/>
  <c r="U83" i="5"/>
  <c r="M83" i="5"/>
  <c r="AA83" i="5"/>
  <c r="S83" i="5"/>
  <c r="K83" i="5"/>
  <c r="X83" i="5"/>
  <c r="P83" i="5"/>
  <c r="H83" i="5"/>
  <c r="Z83" i="5"/>
  <c r="N83" i="5"/>
  <c r="Y83" i="5"/>
  <c r="L83" i="5"/>
  <c r="V83" i="5"/>
  <c r="I83" i="5"/>
  <c r="T83" i="5"/>
  <c r="G83" i="5"/>
  <c r="AE83" i="5"/>
  <c r="R83" i="5"/>
  <c r="F83" i="5"/>
  <c r="Z82" i="5"/>
  <c r="R82" i="5"/>
  <c r="J82" i="5"/>
  <c r="Y82" i="5"/>
  <c r="Q82" i="5"/>
  <c r="I82" i="5"/>
  <c r="AE82" i="5"/>
  <c r="W82" i="5"/>
  <c r="O82" i="5"/>
  <c r="G82" i="5"/>
  <c r="AD82" i="5"/>
  <c r="V82" i="5"/>
  <c r="N82" i="5"/>
  <c r="F82" i="5"/>
  <c r="AC82" i="5"/>
  <c r="U82" i="5"/>
  <c r="M82" i="5"/>
  <c r="X82" i="5"/>
  <c r="J49" i="5"/>
  <c r="R49" i="5"/>
  <c r="Z49" i="5"/>
  <c r="L51" i="5"/>
  <c r="T51" i="5"/>
  <c r="AB51" i="5"/>
  <c r="G54" i="5"/>
  <c r="O54" i="5"/>
  <c r="W54" i="5"/>
  <c r="AE54" i="5"/>
  <c r="J57" i="5"/>
  <c r="R57" i="5"/>
  <c r="Z57" i="5"/>
  <c r="K58" i="5"/>
  <c r="S58" i="5"/>
  <c r="AA58" i="5"/>
  <c r="L59" i="5"/>
  <c r="T59" i="5"/>
  <c r="AB59" i="5"/>
  <c r="G62" i="5"/>
  <c r="O62" i="5"/>
  <c r="W62" i="5"/>
  <c r="AE62" i="5"/>
  <c r="H63" i="5"/>
  <c r="P63" i="5"/>
  <c r="X63" i="5"/>
  <c r="Z66" i="5"/>
  <c r="R66" i="5"/>
  <c r="J66" i="5"/>
  <c r="AE66" i="5"/>
  <c r="W66" i="5"/>
  <c r="O66" i="5"/>
  <c r="G66" i="5"/>
  <c r="AD66" i="5"/>
  <c r="V66" i="5"/>
  <c r="N66" i="5"/>
  <c r="F66" i="5"/>
  <c r="Q66" i="5"/>
  <c r="AC66" i="5"/>
  <c r="J67" i="5"/>
  <c r="V67" i="5"/>
  <c r="H70" i="5"/>
  <c r="U70" i="5"/>
  <c r="H73" i="5"/>
  <c r="T73" i="5"/>
  <c r="I75" i="5"/>
  <c r="Y75" i="5"/>
  <c r="AA76" i="5"/>
  <c r="S76" i="5"/>
  <c r="K76" i="5"/>
  <c r="Y76" i="5"/>
  <c r="Q76" i="5"/>
  <c r="I76" i="5"/>
  <c r="X76" i="5"/>
  <c r="P76" i="5"/>
  <c r="H76" i="5"/>
  <c r="U76" i="5"/>
  <c r="H78" i="5"/>
  <c r="AE78" i="5"/>
  <c r="M79" i="5"/>
  <c r="AA82" i="5"/>
  <c r="O83" i="5"/>
  <c r="L58" i="5"/>
  <c r="T58" i="5"/>
  <c r="AB58" i="5"/>
  <c r="M59" i="5"/>
  <c r="U59" i="5"/>
  <c r="I63" i="5"/>
  <c r="Q63" i="5"/>
  <c r="Y63" i="5"/>
  <c r="L67" i="5"/>
  <c r="Y67" i="5"/>
  <c r="I70" i="5"/>
  <c r="W70" i="5"/>
  <c r="J73" i="5"/>
  <c r="W73" i="5"/>
  <c r="L75" i="5"/>
  <c r="AB75" i="5"/>
  <c r="L78" i="5"/>
  <c r="P79" i="5"/>
  <c r="H82" i="5"/>
  <c r="AB82" i="5"/>
  <c r="Q83" i="5"/>
  <c r="L49" i="5"/>
  <c r="T49" i="5"/>
  <c r="F51" i="5"/>
  <c r="N51" i="5"/>
  <c r="V51" i="5"/>
  <c r="I54" i="5"/>
  <c r="Q54" i="5"/>
  <c r="L57" i="5"/>
  <c r="T57" i="5"/>
  <c r="M58" i="5"/>
  <c r="U58" i="5"/>
  <c r="F59" i="5"/>
  <c r="N59" i="5"/>
  <c r="V59" i="5"/>
  <c r="I62" i="5"/>
  <c r="Q62" i="5"/>
  <c r="J63" i="5"/>
  <c r="R63" i="5"/>
  <c r="Y65" i="5"/>
  <c r="Q65" i="5"/>
  <c r="AD65" i="5"/>
  <c r="V65" i="5"/>
  <c r="N65" i="5"/>
  <c r="F65" i="5"/>
  <c r="AC65" i="5"/>
  <c r="U65" i="5"/>
  <c r="M65" i="5"/>
  <c r="O65" i="5"/>
  <c r="AA65" i="5"/>
  <c r="H66" i="5"/>
  <c r="T66" i="5"/>
  <c r="M67" i="5"/>
  <c r="Z67" i="5"/>
  <c r="Y68" i="5"/>
  <c r="Q68" i="5"/>
  <c r="I68" i="5"/>
  <c r="X68" i="5"/>
  <c r="P68" i="5"/>
  <c r="H68" i="5"/>
  <c r="R68" i="5"/>
  <c r="AD68" i="5"/>
  <c r="L70" i="5"/>
  <c r="X70" i="5"/>
  <c r="AE71" i="5"/>
  <c r="K73" i="5"/>
  <c r="X73" i="5"/>
  <c r="Z74" i="5"/>
  <c r="R74" i="5"/>
  <c r="J74" i="5"/>
  <c r="Y74" i="5"/>
  <c r="AE74" i="5"/>
  <c r="W74" i="5"/>
  <c r="O74" i="5"/>
  <c r="G74" i="5"/>
  <c r="AD74" i="5"/>
  <c r="V74" i="5"/>
  <c r="N74" i="5"/>
  <c r="F74" i="5"/>
  <c r="Q74" i="5"/>
  <c r="M75" i="5"/>
  <c r="AC75" i="5"/>
  <c r="G76" i="5"/>
  <c r="W76" i="5"/>
  <c r="O78" i="5"/>
  <c r="Q79" i="5"/>
  <c r="K82" i="5"/>
  <c r="W83" i="5"/>
  <c r="X86" i="5"/>
  <c r="P86" i="5"/>
  <c r="H86" i="5"/>
  <c r="AD86" i="5"/>
  <c r="V86" i="5"/>
  <c r="N86" i="5"/>
  <c r="F86" i="5"/>
  <c r="AA86" i="5"/>
  <c r="S86" i="5"/>
  <c r="K86" i="5"/>
  <c r="AB86" i="5"/>
  <c r="O86" i="5"/>
  <c r="Z86" i="5"/>
  <c r="M86" i="5"/>
  <c r="W86" i="5"/>
  <c r="J86" i="5"/>
  <c r="U86" i="5"/>
  <c r="I86" i="5"/>
  <c r="T86" i="5"/>
  <c r="G86" i="5"/>
  <c r="U89" i="5"/>
  <c r="L81" i="5"/>
  <c r="T81" i="5"/>
  <c r="AB81" i="5"/>
  <c r="Z88" i="5"/>
  <c r="R88" i="5"/>
  <c r="J88" i="5"/>
  <c r="X88" i="5"/>
  <c r="P88" i="5"/>
  <c r="H88" i="5"/>
  <c r="AC88" i="5"/>
  <c r="U88" i="5"/>
  <c r="M88" i="5"/>
  <c r="O88" i="5"/>
  <c r="AB88" i="5"/>
  <c r="G89" i="5"/>
  <c r="W89" i="5"/>
  <c r="N96" i="5"/>
  <c r="R97" i="5"/>
  <c r="O99" i="5"/>
  <c r="R100" i="5"/>
  <c r="W104" i="5"/>
  <c r="K104" i="5"/>
  <c r="S104" i="5"/>
  <c r="I104" i="5"/>
  <c r="AE104" i="5"/>
  <c r="R104" i="5"/>
  <c r="H104" i="5"/>
  <c r="K71" i="5"/>
  <c r="S71" i="5"/>
  <c r="AA71" i="5"/>
  <c r="L72" i="5"/>
  <c r="T72" i="5"/>
  <c r="AB72" i="5"/>
  <c r="I77" i="5"/>
  <c r="Q77" i="5"/>
  <c r="Y77" i="5"/>
  <c r="K79" i="5"/>
  <c r="S79" i="5"/>
  <c r="AA79" i="5"/>
  <c r="L80" i="5"/>
  <c r="T80" i="5"/>
  <c r="AB80" i="5"/>
  <c r="M81" i="5"/>
  <c r="U81" i="5"/>
  <c r="AC81" i="5"/>
  <c r="AE85" i="5"/>
  <c r="W85" i="5"/>
  <c r="O85" i="5"/>
  <c r="G85" i="5"/>
  <c r="AC85" i="5"/>
  <c r="U85" i="5"/>
  <c r="M85" i="5"/>
  <c r="Z85" i="5"/>
  <c r="R85" i="5"/>
  <c r="J85" i="5"/>
  <c r="P85" i="5"/>
  <c r="AB85" i="5"/>
  <c r="M87" i="5"/>
  <c r="Z87" i="5"/>
  <c r="Q88" i="5"/>
  <c r="AD88" i="5"/>
  <c r="H89" i="5"/>
  <c r="X89" i="5"/>
  <c r="Q96" i="5"/>
  <c r="U97" i="5"/>
  <c r="Q99" i="5"/>
  <c r="U100" i="5"/>
  <c r="P104" i="5"/>
  <c r="Y107" i="5"/>
  <c r="Q107" i="5"/>
  <c r="I107" i="5"/>
  <c r="X107" i="5"/>
  <c r="P107" i="5"/>
  <c r="H107" i="5"/>
  <c r="AE107" i="5"/>
  <c r="W107" i="5"/>
  <c r="O107" i="5"/>
  <c r="G107" i="5"/>
  <c r="AC107" i="5"/>
  <c r="U107" i="5"/>
  <c r="M107" i="5"/>
  <c r="R107" i="5"/>
  <c r="AD107" i="5"/>
  <c r="N107" i="5"/>
  <c r="AB107" i="5"/>
  <c r="L107" i="5"/>
  <c r="AA107" i="5"/>
  <c r="K107" i="5"/>
  <c r="Z107" i="5"/>
  <c r="J107" i="5"/>
  <c r="V107" i="5"/>
  <c r="F107" i="5"/>
  <c r="T107" i="5"/>
  <c r="L71" i="5"/>
  <c r="T71" i="5"/>
  <c r="AB71" i="5"/>
  <c r="M72" i="5"/>
  <c r="U72" i="5"/>
  <c r="AC72" i="5"/>
  <c r="J77" i="5"/>
  <c r="R77" i="5"/>
  <c r="Z77" i="5"/>
  <c r="L79" i="5"/>
  <c r="T79" i="5"/>
  <c r="AB79" i="5"/>
  <c r="M80" i="5"/>
  <c r="U80" i="5"/>
  <c r="AC80" i="5"/>
  <c r="F81" i="5"/>
  <c r="N81" i="5"/>
  <c r="V81" i="5"/>
  <c r="AD81" i="5"/>
  <c r="Q85" i="5"/>
  <c r="AD85" i="5"/>
  <c r="N87" i="5"/>
  <c r="AA87" i="5"/>
  <c r="F88" i="5"/>
  <c r="S88" i="5"/>
  <c r="AE88" i="5"/>
  <c r="J89" i="5"/>
  <c r="Z89" i="5"/>
  <c r="AD91" i="5"/>
  <c r="V91" i="5"/>
  <c r="N91" i="5"/>
  <c r="F91" i="5"/>
  <c r="AC91" i="5"/>
  <c r="U91" i="5"/>
  <c r="M91" i="5"/>
  <c r="AA91" i="5"/>
  <c r="S91" i="5"/>
  <c r="K91" i="5"/>
  <c r="Z91" i="5"/>
  <c r="R91" i="5"/>
  <c r="J91" i="5"/>
  <c r="X91" i="5"/>
  <c r="P91" i="5"/>
  <c r="H91" i="5"/>
  <c r="W91" i="5"/>
  <c r="AE92" i="5"/>
  <c r="W92" i="5"/>
  <c r="O92" i="5"/>
  <c r="G92" i="5"/>
  <c r="AA92" i="5"/>
  <c r="S92" i="5"/>
  <c r="K92" i="5"/>
  <c r="Z92" i="5"/>
  <c r="AB97" i="5"/>
  <c r="AD100" i="5"/>
  <c r="Z104" i="5"/>
  <c r="M89" i="5"/>
  <c r="AC89" i="5"/>
  <c r="AA96" i="5"/>
  <c r="S96" i="5"/>
  <c r="K96" i="5"/>
  <c r="Z96" i="5"/>
  <c r="R96" i="5"/>
  <c r="J96" i="5"/>
  <c r="X96" i="5"/>
  <c r="P96" i="5"/>
  <c r="H96" i="5"/>
  <c r="AE96" i="5"/>
  <c r="W96" i="5"/>
  <c r="O96" i="5"/>
  <c r="G96" i="5"/>
  <c r="AC96" i="5"/>
  <c r="U96" i="5"/>
  <c r="M96" i="5"/>
  <c r="V96" i="5"/>
  <c r="X97" i="5"/>
  <c r="P97" i="5"/>
  <c r="H97" i="5"/>
  <c r="Z97" i="5"/>
  <c r="AD99" i="5"/>
  <c r="V99" i="5"/>
  <c r="N99" i="5"/>
  <c r="F99" i="5"/>
  <c r="AC99" i="5"/>
  <c r="U99" i="5"/>
  <c r="M99" i="5"/>
  <c r="AA99" i="5"/>
  <c r="S99" i="5"/>
  <c r="K99" i="5"/>
  <c r="Z99" i="5"/>
  <c r="R99" i="5"/>
  <c r="J99" i="5"/>
  <c r="X99" i="5"/>
  <c r="P99" i="5"/>
  <c r="H99" i="5"/>
  <c r="W99" i="5"/>
  <c r="AE100" i="5"/>
  <c r="W100" i="5"/>
  <c r="O100" i="5"/>
  <c r="G100" i="5"/>
  <c r="AA100" i="5"/>
  <c r="S100" i="5"/>
  <c r="K100" i="5"/>
  <c r="Z100" i="5"/>
  <c r="L77" i="5"/>
  <c r="T77" i="5"/>
  <c r="AB77" i="5"/>
  <c r="H81" i="5"/>
  <c r="P81" i="5"/>
  <c r="X81" i="5"/>
  <c r="R87" i="5"/>
  <c r="AD87" i="5"/>
  <c r="I88" i="5"/>
  <c r="V88" i="5"/>
  <c r="O89" i="5"/>
  <c r="AE89" i="5"/>
  <c r="Y96" i="5"/>
  <c r="G97" i="5"/>
  <c r="AC97" i="5"/>
  <c r="Y99" i="5"/>
  <c r="H100" i="5"/>
  <c r="AC100" i="5"/>
  <c r="H106" i="5"/>
  <c r="S106" i="5"/>
  <c r="R106" i="5"/>
  <c r="Q106" i="5"/>
  <c r="AC106" i="5"/>
  <c r="M106" i="5"/>
  <c r="AA106" i="5"/>
  <c r="K106" i="5"/>
  <c r="Z106" i="5"/>
  <c r="J106" i="5"/>
  <c r="Y106" i="5"/>
  <c r="I106" i="5"/>
  <c r="L68" i="5"/>
  <c r="T68" i="5"/>
  <c r="G71" i="5"/>
  <c r="O71" i="5"/>
  <c r="W71" i="5"/>
  <c r="H72" i="5"/>
  <c r="P72" i="5"/>
  <c r="L76" i="5"/>
  <c r="T76" i="5"/>
  <c r="M77" i="5"/>
  <c r="U77" i="5"/>
  <c r="G79" i="5"/>
  <c r="O79" i="5"/>
  <c r="W79" i="5"/>
  <c r="H80" i="5"/>
  <c r="P80" i="5"/>
  <c r="I81" i="5"/>
  <c r="Q81" i="5"/>
  <c r="R84" i="5"/>
  <c r="I85" i="5"/>
  <c r="V85" i="5"/>
  <c r="F87" i="5"/>
  <c r="S87" i="5"/>
  <c r="K88" i="5"/>
  <c r="W88" i="5"/>
  <c r="I91" i="5"/>
  <c r="AE91" i="5"/>
  <c r="M92" i="5"/>
  <c r="Y95" i="5"/>
  <c r="F96" i="5"/>
  <c r="AB96" i="5"/>
  <c r="J97" i="5"/>
  <c r="AE97" i="5"/>
  <c r="G99" i="5"/>
  <c r="AB99" i="5"/>
  <c r="J100" i="5"/>
  <c r="U106" i="5"/>
  <c r="I84" i="5"/>
  <c r="Q84" i="5"/>
  <c r="Y84" i="5"/>
  <c r="L87" i="5"/>
  <c r="T87" i="5"/>
  <c r="AB87" i="5"/>
  <c r="F89" i="5"/>
  <c r="N89" i="5"/>
  <c r="V89" i="5"/>
  <c r="AD89" i="5"/>
  <c r="G90" i="5"/>
  <c r="O90" i="5"/>
  <c r="W90" i="5"/>
  <c r="AE90" i="5"/>
  <c r="I92" i="5"/>
  <c r="Q92" i="5"/>
  <c r="Y92" i="5"/>
  <c r="J93" i="5"/>
  <c r="R93" i="5"/>
  <c r="Z93" i="5"/>
  <c r="L95" i="5"/>
  <c r="T95" i="5"/>
  <c r="AB95" i="5"/>
  <c r="F97" i="5"/>
  <c r="N97" i="5"/>
  <c r="V97" i="5"/>
  <c r="AD97" i="5"/>
  <c r="G98" i="5"/>
  <c r="O98" i="5"/>
  <c r="W98" i="5"/>
  <c r="AE98" i="5"/>
  <c r="I100" i="5"/>
  <c r="Q100" i="5"/>
  <c r="Y100" i="5"/>
  <c r="J101" i="5"/>
  <c r="R101" i="5"/>
  <c r="Z101" i="5"/>
  <c r="K102" i="5"/>
  <c r="S102" i="5"/>
  <c r="AA102" i="5"/>
  <c r="AC103" i="5"/>
  <c r="L103" i="5"/>
  <c r="T103" i="5"/>
  <c r="AB103" i="5"/>
  <c r="G104" i="5"/>
  <c r="Q104" i="5"/>
  <c r="AA104" i="5"/>
  <c r="I105" i="5"/>
  <c r="Y105" i="5"/>
  <c r="M109" i="5"/>
  <c r="AC109" i="5"/>
  <c r="G110" i="5"/>
  <c r="AC110" i="5"/>
  <c r="M114" i="5"/>
  <c r="Y115" i="5"/>
  <c r="Q115" i="5"/>
  <c r="I115" i="5"/>
  <c r="X115" i="5"/>
  <c r="P115" i="5"/>
  <c r="H115" i="5"/>
  <c r="AE115" i="5"/>
  <c r="W115" i="5"/>
  <c r="O115" i="5"/>
  <c r="G115" i="5"/>
  <c r="AC115" i="5"/>
  <c r="U115" i="5"/>
  <c r="M115" i="5"/>
  <c r="AA115" i="5"/>
  <c r="S115" i="5"/>
  <c r="K115" i="5"/>
  <c r="Z115" i="5"/>
  <c r="R115" i="5"/>
  <c r="J115" i="5"/>
  <c r="AD115" i="5"/>
  <c r="L123" i="5"/>
  <c r="L102" i="5"/>
  <c r="T102" i="5"/>
  <c r="AB102" i="5"/>
  <c r="M103" i="5"/>
  <c r="U103" i="5"/>
  <c r="AD103" i="5"/>
  <c r="Z108" i="5"/>
  <c r="R108" i="5"/>
  <c r="J108" i="5"/>
  <c r="Y108" i="5"/>
  <c r="Q108" i="5"/>
  <c r="I108" i="5"/>
  <c r="X108" i="5"/>
  <c r="P108" i="5"/>
  <c r="H108" i="5"/>
  <c r="AD108" i="5"/>
  <c r="V108" i="5"/>
  <c r="N108" i="5"/>
  <c r="F108" i="5"/>
  <c r="T108" i="5"/>
  <c r="N109" i="5"/>
  <c r="AD109" i="5"/>
  <c r="L93" i="5"/>
  <c r="T93" i="5"/>
  <c r="AB93" i="5"/>
  <c r="L101" i="5"/>
  <c r="T101" i="5"/>
  <c r="AB101" i="5"/>
  <c r="M102" i="5"/>
  <c r="U102" i="5"/>
  <c r="AC102" i="5"/>
  <c r="F103" i="5"/>
  <c r="N103" i="5"/>
  <c r="V103" i="5"/>
  <c r="AE103" i="5"/>
  <c r="U108" i="5"/>
  <c r="P109" i="5"/>
  <c r="AE113" i="5"/>
  <c r="W113" i="5"/>
  <c r="O113" i="5"/>
  <c r="G113" i="5"/>
  <c r="AD113" i="5"/>
  <c r="V113" i="5"/>
  <c r="N113" i="5"/>
  <c r="F113" i="5"/>
  <c r="AC113" i="5"/>
  <c r="U113" i="5"/>
  <c r="M113" i="5"/>
  <c r="AA113" i="5"/>
  <c r="S113" i="5"/>
  <c r="K113" i="5"/>
  <c r="Y113" i="5"/>
  <c r="Q113" i="5"/>
  <c r="I113" i="5"/>
  <c r="X113" i="5"/>
  <c r="P113" i="5"/>
  <c r="H113" i="5"/>
  <c r="U114" i="5"/>
  <c r="L84" i="5"/>
  <c r="T84" i="5"/>
  <c r="AB84" i="5"/>
  <c r="O87" i="5"/>
  <c r="W87" i="5"/>
  <c r="AE87" i="5"/>
  <c r="I89" i="5"/>
  <c r="Q89" i="5"/>
  <c r="Y89" i="5"/>
  <c r="J90" i="5"/>
  <c r="R90" i="5"/>
  <c r="Z90" i="5"/>
  <c r="L92" i="5"/>
  <c r="T92" i="5"/>
  <c r="AB92" i="5"/>
  <c r="M93" i="5"/>
  <c r="U93" i="5"/>
  <c r="AC93" i="5"/>
  <c r="G95" i="5"/>
  <c r="O95" i="5"/>
  <c r="W95" i="5"/>
  <c r="AE95" i="5"/>
  <c r="I97" i="5"/>
  <c r="Q97" i="5"/>
  <c r="Y97" i="5"/>
  <c r="J98" i="5"/>
  <c r="R98" i="5"/>
  <c r="Z98" i="5"/>
  <c r="L100" i="5"/>
  <c r="T100" i="5"/>
  <c r="AB100" i="5"/>
  <c r="M101" i="5"/>
  <c r="U101" i="5"/>
  <c r="AC101" i="5"/>
  <c r="F102" i="5"/>
  <c r="N102" i="5"/>
  <c r="V102" i="5"/>
  <c r="AD102" i="5"/>
  <c r="G103" i="5"/>
  <c r="O103" i="5"/>
  <c r="W103" i="5"/>
  <c r="J104" i="5"/>
  <c r="T104" i="5"/>
  <c r="G108" i="5"/>
  <c r="W108" i="5"/>
  <c r="AA109" i="5"/>
  <c r="S109" i="5"/>
  <c r="K109" i="5"/>
  <c r="Z109" i="5"/>
  <c r="R109" i="5"/>
  <c r="J109" i="5"/>
  <c r="Y109" i="5"/>
  <c r="Q109" i="5"/>
  <c r="I109" i="5"/>
  <c r="AE109" i="5"/>
  <c r="W109" i="5"/>
  <c r="O109" i="5"/>
  <c r="G109" i="5"/>
  <c r="T109" i="5"/>
  <c r="O110" i="5"/>
  <c r="L115" i="5"/>
  <c r="G102" i="5"/>
  <c r="O102" i="5"/>
  <c r="W102" i="5"/>
  <c r="AE102" i="5"/>
  <c r="H103" i="5"/>
  <c r="P103" i="5"/>
  <c r="X103" i="5"/>
  <c r="K108" i="5"/>
  <c r="AA108" i="5"/>
  <c r="U109" i="5"/>
  <c r="F84" i="5"/>
  <c r="N84" i="5"/>
  <c r="V84" i="5"/>
  <c r="I87" i="5"/>
  <c r="Q87" i="5"/>
  <c r="K89" i="5"/>
  <c r="S89" i="5"/>
  <c r="AA89" i="5"/>
  <c r="L90" i="5"/>
  <c r="T90" i="5"/>
  <c r="F92" i="5"/>
  <c r="N92" i="5"/>
  <c r="V92" i="5"/>
  <c r="G93" i="5"/>
  <c r="O93" i="5"/>
  <c r="W93" i="5"/>
  <c r="AE93" i="5"/>
  <c r="I95" i="5"/>
  <c r="Q95" i="5"/>
  <c r="K97" i="5"/>
  <c r="S97" i="5"/>
  <c r="AA97" i="5"/>
  <c r="L98" i="5"/>
  <c r="T98" i="5"/>
  <c r="F100" i="5"/>
  <c r="N100" i="5"/>
  <c r="V100" i="5"/>
  <c r="G101" i="5"/>
  <c r="O101" i="5"/>
  <c r="W101" i="5"/>
  <c r="AE101" i="5"/>
  <c r="H102" i="5"/>
  <c r="P102" i="5"/>
  <c r="X102" i="5"/>
  <c r="I103" i="5"/>
  <c r="Q103" i="5"/>
  <c r="Y103" i="5"/>
  <c r="L104" i="5"/>
  <c r="AE105" i="5"/>
  <c r="W105" i="5"/>
  <c r="O105" i="5"/>
  <c r="G105" i="5"/>
  <c r="AD105" i="5"/>
  <c r="V105" i="5"/>
  <c r="N105" i="5"/>
  <c r="F105" i="5"/>
  <c r="AC105" i="5"/>
  <c r="U105" i="5"/>
  <c r="M105" i="5"/>
  <c r="AA105" i="5"/>
  <c r="S105" i="5"/>
  <c r="K105" i="5"/>
  <c r="R105" i="5"/>
  <c r="L108" i="5"/>
  <c r="AB108" i="5"/>
  <c r="F109" i="5"/>
  <c r="V109" i="5"/>
  <c r="AB110" i="5"/>
  <c r="L113" i="5"/>
  <c r="X114" i="5"/>
  <c r="T115" i="5"/>
  <c r="AA116" i="5"/>
  <c r="S116" i="5"/>
  <c r="K116" i="5"/>
  <c r="L89" i="5"/>
  <c r="T89" i="5"/>
  <c r="M90" i="5"/>
  <c r="U90" i="5"/>
  <c r="H93" i="5"/>
  <c r="P93" i="5"/>
  <c r="L97" i="5"/>
  <c r="T97" i="5"/>
  <c r="M98" i="5"/>
  <c r="U98" i="5"/>
  <c r="H101" i="5"/>
  <c r="P101" i="5"/>
  <c r="I102" i="5"/>
  <c r="Q102" i="5"/>
  <c r="J103" i="5"/>
  <c r="R103" i="5"/>
  <c r="AD104" i="5"/>
  <c r="V104" i="5"/>
  <c r="N104" i="5"/>
  <c r="F104" i="5"/>
  <c r="AC104" i="5"/>
  <c r="U104" i="5"/>
  <c r="M104" i="5"/>
  <c r="AB104" i="5"/>
  <c r="O104" i="5"/>
  <c r="Y104" i="5"/>
  <c r="X106" i="5"/>
  <c r="M108" i="5"/>
  <c r="AC108" i="5"/>
  <c r="H109" i="5"/>
  <c r="R110" i="5"/>
  <c r="J110" i="5"/>
  <c r="P110" i="5"/>
  <c r="H110" i="5"/>
  <c r="AD110" i="5"/>
  <c r="V110" i="5"/>
  <c r="N110" i="5"/>
  <c r="W110" i="5"/>
  <c r="R113" i="5"/>
  <c r="Z114" i="5"/>
  <c r="R114" i="5"/>
  <c r="J114" i="5"/>
  <c r="Y114" i="5"/>
  <c r="Q114" i="5"/>
  <c r="I114" i="5"/>
  <c r="Y123" i="5"/>
  <c r="Q123" i="5"/>
  <c r="I123" i="5"/>
  <c r="X123" i="5"/>
  <c r="P123" i="5"/>
  <c r="H123" i="5"/>
  <c r="AE123" i="5"/>
  <c r="W123" i="5"/>
  <c r="O123" i="5"/>
  <c r="G123" i="5"/>
  <c r="AD123" i="5"/>
  <c r="V123" i="5"/>
  <c r="N123" i="5"/>
  <c r="F123" i="5"/>
  <c r="AC123" i="5"/>
  <c r="U123" i="5"/>
  <c r="M123" i="5"/>
  <c r="AA123" i="5"/>
  <c r="S123" i="5"/>
  <c r="K123" i="5"/>
  <c r="Z123" i="5"/>
  <c r="R123" i="5"/>
  <c r="J123" i="5"/>
  <c r="L117" i="5"/>
  <c r="T117" i="5"/>
  <c r="AB117" i="5"/>
  <c r="M118" i="5"/>
  <c r="U118" i="5"/>
  <c r="H121" i="5"/>
  <c r="P121" i="5"/>
  <c r="X121" i="5"/>
  <c r="I122" i="5"/>
  <c r="Q122" i="5"/>
  <c r="Y122" i="5"/>
  <c r="K124" i="5"/>
  <c r="S124" i="5"/>
  <c r="AA124" i="5"/>
  <c r="L125" i="5"/>
  <c r="T125" i="5"/>
  <c r="AB125" i="5"/>
  <c r="M126" i="5"/>
  <c r="U126" i="5"/>
  <c r="AC126" i="5"/>
  <c r="F127" i="5"/>
  <c r="N127" i="5"/>
  <c r="V127" i="5"/>
  <c r="AD127" i="5"/>
  <c r="L116" i="5"/>
  <c r="T116" i="5"/>
  <c r="AB116" i="5"/>
  <c r="M117" i="5"/>
  <c r="U117" i="5"/>
  <c r="AC117" i="5"/>
  <c r="F118" i="5"/>
  <c r="N118" i="5"/>
  <c r="V118" i="5"/>
  <c r="AD118" i="5"/>
  <c r="G119" i="5"/>
  <c r="O119" i="5"/>
  <c r="W119" i="5"/>
  <c r="AE119" i="5"/>
  <c r="H120" i="5"/>
  <c r="P120" i="5"/>
  <c r="X120" i="5"/>
  <c r="I121" i="5"/>
  <c r="Q121" i="5"/>
  <c r="Y121" i="5"/>
  <c r="J122" i="5"/>
  <c r="R122" i="5"/>
  <c r="Z122" i="5"/>
  <c r="L124" i="5"/>
  <c r="T124" i="5"/>
  <c r="AB124" i="5"/>
  <c r="M125" i="5"/>
  <c r="U125" i="5"/>
  <c r="AC125" i="5"/>
  <c r="F126" i="5"/>
  <c r="N126" i="5"/>
  <c r="V126" i="5"/>
  <c r="AD126" i="5"/>
  <c r="G127" i="5"/>
  <c r="O127" i="5"/>
  <c r="W127" i="5"/>
  <c r="AE127" i="5"/>
  <c r="M124" i="5"/>
  <c r="U124" i="5"/>
  <c r="AC124" i="5"/>
  <c r="F125" i="5"/>
  <c r="N125" i="5"/>
  <c r="V125" i="5"/>
  <c r="AD125" i="5"/>
  <c r="G126" i="5"/>
  <c r="O126" i="5"/>
  <c r="W126" i="5"/>
  <c r="AE126" i="5"/>
  <c r="H127" i="5"/>
  <c r="P127" i="5"/>
  <c r="X127" i="5"/>
  <c r="L106" i="5"/>
  <c r="T106" i="5"/>
  <c r="AB106" i="5"/>
  <c r="X110" i="5"/>
  <c r="I111" i="5"/>
  <c r="Q111" i="5"/>
  <c r="Y111" i="5"/>
  <c r="J112" i="5"/>
  <c r="R112" i="5"/>
  <c r="Z112" i="5"/>
  <c r="L114" i="5"/>
  <c r="T114" i="5"/>
  <c r="AB114" i="5"/>
  <c r="F116" i="5"/>
  <c r="N116" i="5"/>
  <c r="V116" i="5"/>
  <c r="AD116" i="5"/>
  <c r="G117" i="5"/>
  <c r="O117" i="5"/>
  <c r="W117" i="5"/>
  <c r="AE117" i="5"/>
  <c r="H118" i="5"/>
  <c r="P118" i="5"/>
  <c r="X118" i="5"/>
  <c r="I119" i="5"/>
  <c r="Q119" i="5"/>
  <c r="Y119" i="5"/>
  <c r="J120" i="5"/>
  <c r="R120" i="5"/>
  <c r="Z120" i="5"/>
  <c r="K121" i="5"/>
  <c r="S121" i="5"/>
  <c r="AA121" i="5"/>
  <c r="L122" i="5"/>
  <c r="T122" i="5"/>
  <c r="AB122" i="5"/>
  <c r="F124" i="5"/>
  <c r="N124" i="5"/>
  <c r="V124" i="5"/>
  <c r="AD124" i="5"/>
  <c r="G125" i="5"/>
  <c r="O125" i="5"/>
  <c r="W125" i="5"/>
  <c r="AE125" i="5"/>
  <c r="H126" i="5"/>
  <c r="P126" i="5"/>
  <c r="X126" i="5"/>
  <c r="I127" i="5"/>
  <c r="Q127" i="5"/>
  <c r="Y127" i="5"/>
  <c r="L121" i="5"/>
  <c r="T121" i="5"/>
  <c r="AB121" i="5"/>
  <c r="M122" i="5"/>
  <c r="U122" i="5"/>
  <c r="G124" i="5"/>
  <c r="O124" i="5"/>
  <c r="W124" i="5"/>
  <c r="AE124" i="5"/>
  <c r="Y126" i="5"/>
  <c r="J127" i="5"/>
  <c r="R127" i="5"/>
  <c r="Z127" i="5"/>
  <c r="F106" i="5"/>
  <c r="N106" i="5"/>
  <c r="V106" i="5"/>
  <c r="AD106" i="5"/>
  <c r="Z110" i="5"/>
  <c r="K111" i="5"/>
  <c r="S111" i="5"/>
  <c r="AA111" i="5"/>
  <c r="L112" i="5"/>
  <c r="T112" i="5"/>
  <c r="AB112" i="5"/>
  <c r="F114" i="5"/>
  <c r="N114" i="5"/>
  <c r="V114" i="5"/>
  <c r="AD114" i="5"/>
  <c r="H116" i="5"/>
  <c r="P116" i="5"/>
  <c r="X116" i="5"/>
  <c r="I117" i="5"/>
  <c r="Q117" i="5"/>
  <c r="Y117" i="5"/>
  <c r="J118" i="5"/>
  <c r="R118" i="5"/>
  <c r="Z118" i="5"/>
  <c r="K119" i="5"/>
  <c r="S119" i="5"/>
  <c r="AA119" i="5"/>
  <c r="L120" i="5"/>
  <c r="T120" i="5"/>
  <c r="AB120" i="5"/>
  <c r="M121" i="5"/>
  <c r="U121" i="5"/>
  <c r="AC121" i="5"/>
  <c r="F122" i="5"/>
  <c r="N122" i="5"/>
  <c r="V122" i="5"/>
  <c r="AD122" i="5"/>
  <c r="H124" i="5"/>
  <c r="P124" i="5"/>
  <c r="I125" i="5"/>
  <c r="Q125" i="5"/>
  <c r="Y125" i="5"/>
  <c r="J126" i="5"/>
  <c r="R126" i="5"/>
  <c r="K127" i="5"/>
  <c r="S127" i="5"/>
  <c r="AA127" i="5"/>
  <c r="G106" i="5"/>
  <c r="O106" i="5"/>
  <c r="W106" i="5"/>
  <c r="AE106" i="5"/>
  <c r="K110" i="5"/>
  <c r="S110" i="5"/>
  <c r="AA110" i="5"/>
  <c r="L111" i="5"/>
  <c r="T111" i="5"/>
  <c r="AB111" i="5"/>
  <c r="M112" i="5"/>
  <c r="U112" i="5"/>
  <c r="AC112" i="5"/>
  <c r="G114" i="5"/>
  <c r="O114" i="5"/>
  <c r="W114" i="5"/>
  <c r="AE114" i="5"/>
  <c r="I116" i="5"/>
  <c r="Q116" i="5"/>
  <c r="Y116" i="5"/>
  <c r="J117" i="5"/>
  <c r="R117" i="5"/>
  <c r="Z117" i="5"/>
  <c r="K118" i="5"/>
  <c r="S118" i="5"/>
  <c r="AA118" i="5"/>
  <c r="L119" i="5"/>
  <c r="T119" i="5"/>
  <c r="AB119" i="5"/>
  <c r="M120" i="5"/>
  <c r="U120" i="5"/>
  <c r="AC120" i="5"/>
  <c r="F121" i="5"/>
  <c r="N121" i="5"/>
  <c r="V121" i="5"/>
  <c r="AD121" i="5"/>
  <c r="G122" i="5"/>
  <c r="O122" i="5"/>
  <c r="W122" i="5"/>
  <c r="AE122" i="5"/>
  <c r="I124" i="5"/>
  <c r="Q124" i="5"/>
  <c r="Y124" i="5"/>
  <c r="J125" i="5"/>
  <c r="R125" i="5"/>
  <c r="Z125" i="5"/>
  <c r="K126" i="5"/>
  <c r="S126" i="5"/>
  <c r="AA126" i="5"/>
  <c r="L127" i="5"/>
  <c r="T127" i="5"/>
  <c r="AB127" i="5"/>
  <c r="P106" i="5"/>
  <c r="L110" i="5"/>
  <c r="T110" i="5"/>
  <c r="M111" i="5"/>
  <c r="U111" i="5"/>
  <c r="F112" i="5"/>
  <c r="N112" i="5"/>
  <c r="V112" i="5"/>
  <c r="H114" i="5"/>
  <c r="P114" i="5"/>
  <c r="J116" i="5"/>
  <c r="R116" i="5"/>
  <c r="K117" i="5"/>
  <c r="S117" i="5"/>
  <c r="L118" i="5"/>
  <c r="T118" i="5"/>
  <c r="M119" i="5"/>
  <c r="U119" i="5"/>
  <c r="F120" i="5"/>
  <c r="N120" i="5"/>
  <c r="V120" i="5"/>
  <c r="G121" i="5"/>
  <c r="O121" i="5"/>
  <c r="W121" i="5"/>
  <c r="H122" i="5"/>
  <c r="P122" i="5"/>
  <c r="J124" i="5"/>
  <c r="R124" i="5"/>
  <c r="K125" i="5"/>
  <c r="S125" i="5"/>
  <c r="L126" i="5"/>
  <c r="T126" i="5"/>
  <c r="M127" i="5"/>
  <c r="U1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200-000001000000}">
      <text>
        <r>
          <rPr>
            <sz val="10"/>
            <rFont val="Arial"/>
            <family val="2"/>
          </rPr>
          <t>¿Qué duele hoy? Descríbelo con un hecho medible, no con una opinión.</t>
        </r>
      </text>
    </comment>
    <comment ref="C8" authorId="0" shapeId="0" xr:uid="{00000000-0006-0000-0200-000002000000}">
      <text>
        <r>
          <rPr>
            <sz val="10"/>
            <rFont val="Arial"/>
            <family val="2"/>
          </rPr>
          <t>Qué resultado se compromete, para cuándo y cómo se medirá.</t>
        </r>
      </text>
    </comment>
    <comment ref="C9" authorId="0" shapeId="0" xr:uid="{00000000-0006-0000-0200-000003000000}">
      <text>
        <r>
          <rPr>
            <sz val="10"/>
            <rFont val="Arial"/>
            <family val="2"/>
          </rPr>
          <t>Impacto en dinero, tiempo o riesgo. Si no se puede cuantificar, dilo.</t>
        </r>
      </text>
    </comment>
    <comment ref="C12" authorId="0" shapeId="0" xr:uid="{00000000-0006-0000-0200-000004000000}">
      <text>
        <r>
          <rPr>
            <sz val="10"/>
            <rFont val="Arial"/>
            <family val="2"/>
          </rPr>
          <t>Lista de entregables comprometidos.</t>
        </r>
      </text>
    </comment>
    <comment ref="C13" authorId="0" shapeId="0" xr:uid="{00000000-0006-0000-0200-000005000000}">
      <text>
        <r>
          <rPr>
            <sz val="10"/>
            <rFont val="Arial"/>
            <family val="2"/>
          </rPr>
          <t>Lo que explícitamente queda fuera. Este campo evita el 80% de los conflictos.</t>
        </r>
      </text>
    </comment>
    <comment ref="C14" authorId="0" shapeId="0" xr:uid="{00000000-0006-0000-0200-000006000000}">
      <text>
        <r>
          <rPr>
            <sz val="10"/>
            <rFont val="Arial"/>
            <family val="2"/>
          </rPr>
          <t>Lo que asumimos verdadero. Si un supuesto falla, el plan cambia.</t>
        </r>
      </text>
    </comment>
    <comment ref="C15" authorId="0" shapeId="0" xr:uid="{00000000-0006-0000-0200-000007000000}">
      <text>
        <r>
          <rPr>
            <sz val="10"/>
            <rFont val="Arial"/>
            <family val="2"/>
          </rPr>
          <t>Presupuesto tope, fecha inamovible, tecnología obligada, políticas.</t>
        </r>
      </text>
    </comment>
    <comment ref="C18" authorId="0" shapeId="0" xr:uid="{00000000-0006-0000-0200-000008000000}">
      <text>
        <r>
          <rPr>
            <sz val="10"/>
            <rFont val="Arial"/>
            <family val="2"/>
          </rPr>
          <t>Quién paga y desempata.</t>
        </r>
      </text>
    </comment>
    <comment ref="C19" authorId="0" shapeId="0" xr:uid="{00000000-0006-0000-0200-000009000000}">
      <text>
        <r>
          <rPr>
            <sz val="10"/>
            <rFont val="Arial"/>
            <family val="2"/>
          </rPr>
          <t>Quién responde por la ejecución.</t>
        </r>
      </text>
    </comment>
    <comment ref="C20" authorId="0" shapeId="0" xr:uid="{00000000-0006-0000-0200-00000A000000}">
      <text>
        <r>
          <rPr>
            <sz val="10"/>
            <rFont val="Arial"/>
            <family val="2"/>
          </rPr>
          <t>Quiénes revisan avance y cada cuándo.</t>
        </r>
      </text>
    </comment>
    <comment ref="C21" authorId="0" shapeId="0" xr:uid="{00000000-0006-0000-0200-00000B000000}">
      <text>
        <r>
          <rPr>
            <sz val="10"/>
            <rFont val="Arial"/>
            <family val="2"/>
          </rPr>
          <t>Cuándo se sube una decisión al patrocinador.</t>
        </r>
      </text>
    </comment>
    <comment ref="C24" authorId="0" shapeId="0" xr:uid="{00000000-0006-0000-0200-00000C000000}">
      <text>
        <r>
          <rPr>
            <sz val="10"/>
            <rFont val="Arial"/>
            <family val="2"/>
          </rPr>
          <t>Métrica, valor meta y fecha de medición.</t>
        </r>
      </text>
    </comment>
    <comment ref="C25" authorId="0" shapeId="0" xr:uid="{00000000-0006-0000-0200-00000D000000}">
      <text>
        <r>
          <rPr>
            <sz val="10"/>
            <rFont val="Arial"/>
            <family val="2"/>
          </rPr>
          <t>Métrica, valor meta y fecha de medición.</t>
        </r>
      </text>
    </comment>
    <comment ref="C26" authorId="0" shapeId="0" xr:uid="{00000000-0006-0000-0200-00000E000000}">
      <text>
        <r>
          <rPr>
            <sz val="10"/>
            <rFont val="Arial"/>
            <family val="2"/>
          </rPr>
          <t>Métrica, valor meta y fecha de medición.</t>
        </r>
      </text>
    </comment>
    <comment ref="C27" authorId="0" shapeId="0" xr:uid="{00000000-0006-0000-0200-00000F000000}">
      <text>
        <r>
          <rPr>
            <sz val="10"/>
            <rFont val="Arial"/>
            <family val="2"/>
          </rPr>
          <t>Qué tiene que ser cierto para declarar el proyecto cerrado.</t>
        </r>
      </text>
    </comment>
  </commentList>
</comments>
</file>

<file path=xl/sharedStrings.xml><?xml version="1.0" encoding="utf-8"?>
<sst xmlns="http://schemas.openxmlformats.org/spreadsheetml/2006/main" count="345" uniqueCount="256">
  <si>
    <t>S I S T E M A   D E   G E S T I Ó N</t>
  </si>
  <si>
    <t>Gestión de Proyectos</t>
  </si>
  <si>
    <t>Plantilla integral: plan, cronograma, riesgos, presupuesto y control</t>
  </si>
  <si>
    <t>Jesús González   ·   https://jesus-site-silk.vercel.app/</t>
  </si>
  <si>
    <t>IDENTIFICACIÓN DEL PROYECTO</t>
  </si>
  <si>
    <t>Nombre del proyecto</t>
  </si>
  <si>
    <t>Implementación de plataforma analítica</t>
  </si>
  <si>
    <t>Cliente / Área</t>
  </si>
  <si>
    <t>Dirección de Operaciones</t>
  </si>
  <si>
    <t>Líder de proyecto</t>
  </si>
  <si>
    <t>Jesús González</t>
  </si>
  <si>
    <t>Patrocinador</t>
  </si>
  <si>
    <t>Nombre del patrocinador</t>
  </si>
  <si>
    <t>Fecha de inicio</t>
  </si>
  <si>
    <t>Fecha de cierre planeada</t>
  </si>
  <si>
    <t>Versión del documento</t>
  </si>
  <si>
    <t>CONTENIDO DEL LIBRO</t>
  </si>
  <si>
    <t>Dashboard</t>
  </si>
  <si>
    <t>Indicadores del proyecto calculados automáticamente</t>
  </si>
  <si>
    <t>Ficha del Proyecto</t>
  </si>
  <si>
    <t>Acta constitutiva: objetivo, alcance, criterios de éxito</t>
  </si>
  <si>
    <t>Plan de Tareas</t>
  </si>
  <si>
    <t>Desglose de trabajo con responsables, fechas y avance</t>
  </si>
  <si>
    <t>Cronograma</t>
  </si>
  <si>
    <t>Diagrama de Gantt semanal, alimentado del Plan de Tareas</t>
  </si>
  <si>
    <t>Hitos</t>
  </si>
  <si>
    <t>Puntos de control y entregables comprometidos</t>
  </si>
  <si>
    <t>Riesgos</t>
  </si>
  <si>
    <t>Matriz de riesgos con severidad y plan de mitigación</t>
  </si>
  <si>
    <t>Interesados</t>
  </si>
  <si>
    <t>Mapa de poder e interés con estrategia por actor</t>
  </si>
  <si>
    <t>Presupuesto</t>
  </si>
  <si>
    <t>Presupuesto planeado contra ejercido, por categoría</t>
  </si>
  <si>
    <t>Equipo</t>
  </si>
  <si>
    <t>Roles, asignación y costo por recurso</t>
  </si>
  <si>
    <t>Decisiones</t>
  </si>
  <si>
    <t>Bitácora de decisiones tomadas y su justificación</t>
  </si>
  <si>
    <t>Incidencias</t>
  </si>
  <si>
    <t>Registro de problemas abiertos y su resolución</t>
  </si>
  <si>
    <t>Listas</t>
  </si>
  <si>
    <t>Catálogos que alimentan las listas desplegables</t>
  </si>
  <si>
    <t>CÓMO USAR ESTA PLANTILLA</t>
  </si>
  <si>
    <t>Celdas con fondo crema y texto azul</t>
  </si>
  <si>
    <t>Son las únicas que debes editar. Todo lo demás se calcula solo.</t>
  </si>
  <si>
    <t>Celdas con texto negro</t>
  </si>
  <si>
    <t>Contienen fórmulas. Si las sobrescribes, se rompe el Dashboard.</t>
  </si>
  <si>
    <t>Hoja Listas</t>
  </si>
  <si>
    <t>Edita ahí los catálogos (fases, responsables, categorías) antes de capturar.</t>
  </si>
  <si>
    <t>Fila de ejemplo</t>
  </si>
  <si>
    <t>Cada hoja incluye una fila de muestra en gris. Bórrala cuando empieces.</t>
  </si>
  <si>
    <t>Orden sugerido</t>
  </si>
  <si>
    <t>Ficha → Equipo → Listas → Plan de Tareas → Riesgos → Presupuesto.</t>
  </si>
  <si>
    <t>Plantilla desarrollada por Jesús González   ·   https://jesus-site-silk.vercel.app/</t>
  </si>
  <si>
    <t>DASHBOARD DEL PROYECTO</t>
  </si>
  <si>
    <t>Todo se calcula automáticamente. No captures nada en esta hoja.</t>
  </si>
  <si>
    <t>AVANCE GENERAL</t>
  </si>
  <si>
    <t>TAREAS REGISTRADAS</t>
  </si>
  <si>
    <t>AVANCE PROMEDIO</t>
  </si>
  <si>
    <t>TAREAS COMPLETADAS</t>
  </si>
  <si>
    <t>EN CURSO</t>
  </si>
  <si>
    <t>VENCIDAS</t>
  </si>
  <si>
    <t>POR VENCER (3 DÍAS)</t>
  </si>
  <si>
    <t>RIESGOS E INCIDENCIAS</t>
  </si>
  <si>
    <t>RIESGOS ABIERTOS</t>
  </si>
  <si>
    <t>RIESGOS CRÍTICOS O ALTOS</t>
  </si>
  <si>
    <t>INCIDENCIAS ABIERTAS</t>
  </si>
  <si>
    <t>HITOS Y PRESUPUESTO</t>
  </si>
  <si>
    <t>HITOS CUMPLIDOS</t>
  </si>
  <si>
    <t>HITOS VENCIDOS</t>
  </si>
  <si>
    <t>% PRESUPUESTO EJECUTADO</t>
  </si>
  <si>
    <t>DISTRIBUCIÓN POR ESTADO</t>
  </si>
  <si>
    <t>Estado</t>
  </si>
  <si>
    <t>Tareas</t>
  </si>
  <si>
    <t>% del total</t>
  </si>
  <si>
    <t>Fase</t>
  </si>
  <si>
    <t>Avance</t>
  </si>
  <si>
    <t>Categoría</t>
  </si>
  <si>
    <t>Planeado</t>
  </si>
  <si>
    <t>Ejercido</t>
  </si>
  <si>
    <t>No iniciada</t>
  </si>
  <si>
    <t>Inicio</t>
  </si>
  <si>
    <t>Personal</t>
  </si>
  <si>
    <t>En curso</t>
  </si>
  <si>
    <t>Planeación</t>
  </si>
  <si>
    <t>Licencias</t>
  </si>
  <si>
    <t>Bloqueada</t>
  </si>
  <si>
    <t>Diseño</t>
  </si>
  <si>
    <t>Infraestructura</t>
  </si>
  <si>
    <t>Completada</t>
  </si>
  <si>
    <t>Construcción</t>
  </si>
  <si>
    <t>Consultoría</t>
  </si>
  <si>
    <t>Cancelada</t>
  </si>
  <si>
    <t>Pruebas</t>
  </si>
  <si>
    <t>Capacitación</t>
  </si>
  <si>
    <t>Despliegue</t>
  </si>
  <si>
    <t>Viáticos</t>
  </si>
  <si>
    <t>Cierre</t>
  </si>
  <si>
    <t>Otros</t>
  </si>
  <si>
    <t>Jesús González   ·   https://jesus-site-silk.vercel.app/   ·   Los indicadores se recalculan al abrir el archivo (F9 para forzar).</t>
  </si>
  <si>
    <t>FICHA DEL PROYECTO</t>
  </si>
  <si>
    <t>Acta constitutiva. Llénala antes que nada: es el contrato de lo que se va a hacer.</t>
  </si>
  <si>
    <t>DEFINICIÓN</t>
  </si>
  <si>
    <t>Problema u oportunidad</t>
  </si>
  <si>
    <t>Objetivo del proyecto</t>
  </si>
  <si>
    <t>Beneficio esperado</t>
  </si>
  <si>
    <t>ALCANCE</t>
  </si>
  <si>
    <t>Sí incluye</t>
  </si>
  <si>
    <t>NO incluye</t>
  </si>
  <si>
    <t>Supuestos</t>
  </si>
  <si>
    <t>Restricciones</t>
  </si>
  <si>
    <t>GOBIERNO</t>
  </si>
  <si>
    <t>Comité / frecuencia</t>
  </si>
  <si>
    <t>Criterio de escalamiento</t>
  </si>
  <si>
    <t>ÉXITO</t>
  </si>
  <si>
    <t>Criterio de éxito 1</t>
  </si>
  <si>
    <t>Criterio de éxito 2</t>
  </si>
  <si>
    <t>Criterio de éxito 3</t>
  </si>
  <si>
    <t>Definición de terminado</t>
  </si>
  <si>
    <t>PLAN DE TAREAS</t>
  </si>
  <si>
    <t>El corazón del libro. El Dashboard y el Cronograma se alimentan de esta hoja.</t>
  </si>
  <si>
    <t>ID</t>
  </si>
  <si>
    <t>Tarea / Entregable</t>
  </si>
  <si>
    <t>Responsable</t>
  </si>
  <si>
    <t>Prioridad</t>
  </si>
  <si>
    <t>Inicio plan</t>
  </si>
  <si>
    <t>Fin plan</t>
  </si>
  <si>
    <t>Días</t>
  </si>
  <si>
    <t>% Avance</t>
  </si>
  <si>
    <t>Días al vencimiento</t>
  </si>
  <si>
    <t>Semáforo</t>
  </si>
  <si>
    <t>Depende de</t>
  </si>
  <si>
    <t>Notas</t>
  </si>
  <si>
    <t>Levantamiento de requerimientos con negocio</t>
  </si>
  <si>
    <t>Alta</t>
  </si>
  <si>
    <t>Sesiones con las 3 áreas usuarias</t>
  </si>
  <si>
    <t>Diseño del modelo de datos</t>
  </si>
  <si>
    <t>Recurso 2</t>
  </si>
  <si>
    <t>1</t>
  </si>
  <si>
    <t>Depende del cierre de requerimientos</t>
  </si>
  <si>
    <t>CRONOGRAMA (GANTT)</t>
  </si>
  <si>
    <t>Se dibuja solo a partir del Plan de Tareas. Solo captura la fecha de arranque en C5.</t>
  </si>
  <si>
    <t>Semana 1 inicia:</t>
  </si>
  <si>
    <t>Tarea</t>
  </si>
  <si>
    <t>Fin</t>
  </si>
  <si>
    <t>Barra naranja = tarea planeada  ·  Barra verde = tarea completada  ·  Columna sombreada = semana en curso</t>
  </si>
  <si>
    <t>HITOS Y ENTREGABLES</t>
  </si>
  <si>
    <t>Puntos de control comprometidos. Un hito no tiene duración: se cumple o no se cumple.</t>
  </si>
  <si>
    <t>#</t>
  </si>
  <si>
    <t>Hito / Entregable</t>
  </si>
  <si>
    <t>Fecha comprometida</t>
  </si>
  <si>
    <t>Fecha real</t>
  </si>
  <si>
    <t>Desviación (días)</t>
  </si>
  <si>
    <t>Estatus</t>
  </si>
  <si>
    <t>Evidencia / Comentario</t>
  </si>
  <si>
    <t>Kick-off firmado con patrocinador</t>
  </si>
  <si>
    <t>Minuta firmada en repositorio del proyecto</t>
  </si>
  <si>
    <t>MATRIZ DE RIESGOS</t>
  </si>
  <si>
    <t>Probabilidad × Impacto define la severidad. Todo riesgo Crítico o Alto necesita dueño y fecha.</t>
  </si>
  <si>
    <t>Riesgo identificado</t>
  </si>
  <si>
    <t>Probabilidad</t>
  </si>
  <si>
    <t>Impacto</t>
  </si>
  <si>
    <t>Severidad</t>
  </si>
  <si>
    <t>Nivel</t>
  </si>
  <si>
    <t>Estrategia</t>
  </si>
  <si>
    <t>Plan de mitigación</t>
  </si>
  <si>
    <t>Dueño</t>
  </si>
  <si>
    <t>Fecha límite</t>
  </si>
  <si>
    <t>Los usuarios clave no liberan tiempo para las sesiones de requerimientos</t>
  </si>
  <si>
    <t>Organizacional</t>
  </si>
  <si>
    <t>Alto</t>
  </si>
  <si>
    <t>Mitigar</t>
  </si>
  <si>
    <t>Bloquear agenda con 3 semanas de anticipación y escalar al patrocinador si no hay confirmación</t>
  </si>
  <si>
    <t>Abierto</t>
  </si>
  <si>
    <t>MAPA DE INTERESADOS</t>
  </si>
  <si>
    <t>Poder × Interés define cómo tratar a cada actor. El campo de estrategia se calcula solo.</t>
  </si>
  <si>
    <t>Nombre</t>
  </si>
  <si>
    <t>Cargo / Área</t>
  </si>
  <si>
    <t>Rol en el proyecto</t>
  </si>
  <si>
    <t>Poder</t>
  </si>
  <si>
    <t>Interés</t>
  </si>
  <si>
    <t>Cuadrante</t>
  </si>
  <si>
    <t>Estrategia sugerida</t>
  </si>
  <si>
    <t>Compromiso / Notas</t>
  </si>
  <si>
    <t>Revisión quincenal de 30 min; le importa el impacto en costo operativo</t>
  </si>
  <si>
    <t>PRESUPUESTO</t>
  </si>
  <si>
    <t>Planeado contra ejercido. La desviación y el semáforo se calculan solos.</t>
  </si>
  <si>
    <t>Concepto</t>
  </si>
  <si>
    <t>Monto planeado</t>
  </si>
  <si>
    <t>Monto ejercido</t>
  </si>
  <si>
    <t>Comprometido</t>
  </si>
  <si>
    <t>Desviación</t>
  </si>
  <si>
    <t>% Ejecutado</t>
  </si>
  <si>
    <t>Licencias de plataforma analítica (12 meses)</t>
  </si>
  <si>
    <t>TOTALES</t>
  </si>
  <si>
    <t>Nota: 'Comprometido' es gasto ya autorizado que aún no se paga. Desviación negativa = sobregiro.</t>
  </si>
  <si>
    <t>EQUIPO Y RECURSOS</t>
  </si>
  <si>
    <t>Da de alta al equipo aquí. El costo por hora alimenta el cálculo de esfuerzo del proyecto.</t>
  </si>
  <si>
    <t>Rol</t>
  </si>
  <si>
    <t>Área / Empresa</t>
  </si>
  <si>
    <t>Contacto</t>
  </si>
  <si>
    <t>Costo hora</t>
  </si>
  <si>
    <t>% Asignación</t>
  </si>
  <si>
    <t>Costo mensual estimado</t>
  </si>
  <si>
    <t>Dirección de Datos</t>
  </si>
  <si>
    <t>correo@dominio.com</t>
  </si>
  <si>
    <t>Analista de datos</t>
  </si>
  <si>
    <t>TOTAL EQUIPO</t>
  </si>
  <si>
    <t>Supuesto: 160 horas hábiles por mes. Cámbialo en la fórmula de la columna H si tu base es distinta.</t>
  </si>
  <si>
    <t>BITÁCORA DE DECISIONES</t>
  </si>
  <si>
    <t>Registra qué se decidió, quién decidió y por qué. En seis meses nadie recuerda el porqué.</t>
  </si>
  <si>
    <t>Fecha</t>
  </si>
  <si>
    <t>Decisión tomada</t>
  </si>
  <si>
    <t>Contexto / Alternativas descartadas</t>
  </si>
  <si>
    <t>Quién decidió</t>
  </si>
  <si>
    <t>Reversible</t>
  </si>
  <si>
    <t>Se usará la plataforma existente en vez de licenciar una nueva herramienta</t>
  </si>
  <si>
    <t>Se evaluaron 3 opciones; se descartó la compra por tiempo de procuración (&gt;4 meses)</t>
  </si>
  <si>
    <t>Ahorro de 4 meses en el cronograma</t>
  </si>
  <si>
    <t>Costosa de revertir</t>
  </si>
  <si>
    <t>REGISTRO DE INCIDENCIAS</t>
  </si>
  <si>
    <t>Problemas que ya ocurrieron. Un riesgo materializado se convierte en incidencia.</t>
  </si>
  <si>
    <t>Fecha detección</t>
  </si>
  <si>
    <t>Incidencia</t>
  </si>
  <si>
    <t>Origen</t>
  </si>
  <si>
    <t>Acción correctiva</t>
  </si>
  <si>
    <t>Días abierta</t>
  </si>
  <si>
    <t>El extracto de origen llega incompleto los lunes</t>
  </si>
  <si>
    <t>Sistema fuente</t>
  </si>
  <si>
    <t>Medio</t>
  </si>
  <si>
    <t>Se agregó validación de conteo y reintento automático</t>
  </si>
  <si>
    <t>En análisis</t>
  </si>
  <si>
    <t>LISTAS Y CATÁLOGOS</t>
  </si>
  <si>
    <t>Edita estos catálogos primero: alimentan las listas desplegables de todo el libro.</t>
  </si>
  <si>
    <t>Puedes agregar valores debajo de cada catálogo (hasta la fila 30) y aparecerán en los desplegables.</t>
  </si>
  <si>
    <t>Estado tarea</t>
  </si>
  <si>
    <t>Categoría gasto</t>
  </si>
  <si>
    <t>Estatus riesgo</t>
  </si>
  <si>
    <t>Estrategia riesgo</t>
  </si>
  <si>
    <t>Estatus incidencia</t>
  </si>
  <si>
    <t>Evitar</t>
  </si>
  <si>
    <t>Abierta</t>
  </si>
  <si>
    <t>Media</t>
  </si>
  <si>
    <t>En mitigación</t>
  </si>
  <si>
    <t>Baja</t>
  </si>
  <si>
    <t>Bajo</t>
  </si>
  <si>
    <t>Recurso 3</t>
  </si>
  <si>
    <t>Materializado</t>
  </si>
  <si>
    <t>Transferir</t>
  </si>
  <si>
    <t>Resuelta</t>
  </si>
  <si>
    <t>Recurso 4</t>
  </si>
  <si>
    <t>Cerrado</t>
  </si>
  <si>
    <t>Aceptar</t>
  </si>
  <si>
    <t>Escalada</t>
  </si>
  <si>
    <t>Recurso 5</t>
  </si>
  <si>
    <t>Por asignar</t>
  </si>
  <si>
    <t>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</si>
</sst>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;&quot;($&quot;#,##0\);\-"/>
    <numFmt numFmtId="166" formatCode="dd/mm"/>
    <numFmt numFmtId="167" formatCode="dd/mm/yy"/>
    <numFmt numFmtId="168" formatCode=";;;"/>
    <numFmt numFmtId="169" formatCode="\$#,##0.00"/>
  </numFmts>
  <fonts count="22" x14ac:knownFonts="1">
    <font>
      <sz val="11"/>
      <color theme="1"/>
      <name val="Calibri"/>
      <family val="2"/>
      <charset val="1"/>
    </font>
    <font>
      <b/>
      <sz val="9"/>
      <color rgb="FF8C9AA4"/>
      <name val="Arial"/>
      <charset val="1"/>
    </font>
    <font>
      <b/>
      <sz val="28"/>
      <color rgb="FFFFFFFF"/>
      <name val="Arial"/>
      <charset val="1"/>
    </font>
    <font>
      <i/>
      <sz val="10"/>
      <color rgb="FFC6CFD5"/>
      <name val="Arial"/>
      <charset val="1"/>
    </font>
    <font>
      <b/>
      <sz val="9"/>
      <color rgb="FFB0611C"/>
      <name val="Arial"/>
      <charset val="1"/>
    </font>
    <font>
      <b/>
      <sz val="9.5"/>
      <color rgb="FFB0611C"/>
      <name val="Arial"/>
      <charset val="1"/>
    </font>
    <font>
      <b/>
      <sz val="9"/>
      <color rgb="FF1B2A36"/>
      <name val="Arial"/>
      <charset val="1"/>
    </font>
    <font>
      <sz val="9"/>
      <color rgb="FF0000CC"/>
      <name val="Arial"/>
      <charset val="1"/>
    </font>
    <font>
      <sz val="9"/>
      <color rgb="FF1B2A36"/>
      <name val="Arial"/>
      <charset val="1"/>
    </font>
    <font>
      <b/>
      <sz val="8"/>
      <color rgb="FFFFFFFF"/>
      <name val="Arial"/>
      <charset val="1"/>
    </font>
    <font>
      <b/>
      <sz val="13"/>
      <color rgb="FFFFFFFF"/>
      <name val="Arial"/>
      <charset val="1"/>
    </font>
    <font>
      <i/>
      <sz val="8.5"/>
      <color rgb="FFFFFFFF"/>
      <name val="Arial"/>
      <charset val="1"/>
    </font>
    <font>
      <b/>
      <sz val="7.5"/>
      <color rgb="FFFFFFFF"/>
      <name val="Arial"/>
      <charset val="1"/>
    </font>
    <font>
      <b/>
      <sz val="20"/>
      <color rgb="FF1B2A36"/>
      <name val="Arial"/>
      <charset val="1"/>
    </font>
    <font>
      <b/>
      <sz val="9"/>
      <color rgb="FFFFFFFF"/>
      <name val="Arial"/>
      <charset val="1"/>
    </font>
    <font>
      <sz val="10"/>
      <name val="Arial"/>
      <family val="2"/>
    </font>
    <font>
      <b/>
      <sz val="9"/>
      <color rgb="FF0000CC"/>
      <name val="Arial"/>
      <charset val="1"/>
    </font>
    <font>
      <b/>
      <sz val="7"/>
      <color rgb="FFFFFFFF"/>
      <name val="Arial"/>
      <charset val="1"/>
    </font>
    <font>
      <i/>
      <sz val="8.5"/>
      <color rgb="FF6E7C86"/>
      <name val="Arial"/>
      <charset val="1"/>
    </font>
    <font>
      <b/>
      <sz val="10"/>
      <color rgb="FFFFFFFF"/>
      <name val="Arial"/>
      <charset val="1"/>
    </font>
    <font>
      <i/>
      <sz val="8"/>
      <color rgb="FF6E7C86"/>
      <name val="Arial"/>
      <charset val="1"/>
    </font>
    <font>
      <sz val="9"/>
      <color rgb="FF6E7C8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36"/>
        <bgColor rgb="FF2E4150"/>
      </patternFill>
    </fill>
    <fill>
      <patternFill patternType="solid">
        <fgColor rgb="FFF0E2D3"/>
        <bgColor rgb="FFE7E3DA"/>
      </patternFill>
    </fill>
    <fill>
      <patternFill patternType="solid">
        <fgColor rgb="FFFFF9E3"/>
        <bgColor rgb="FFFBEEDF"/>
      </patternFill>
    </fill>
    <fill>
      <patternFill patternType="solid">
        <fgColor rgb="FFB0611C"/>
        <bgColor rgb="FF9B3B34"/>
      </patternFill>
    </fill>
    <fill>
      <patternFill patternType="solid">
        <fgColor rgb="FF2E4150"/>
        <bgColor rgb="FF1B2A36"/>
      </patternFill>
    </fill>
    <fill>
      <patternFill patternType="solid">
        <fgColor rgb="FF2F6B4F"/>
        <bgColor rgb="FF2E4150"/>
      </patternFill>
    </fill>
    <fill>
      <patternFill patternType="solid">
        <fgColor rgb="FFF3F1EC"/>
        <bgColor rgb="FFFBEEDF"/>
      </patternFill>
    </fill>
    <fill>
      <patternFill patternType="solid">
        <fgColor rgb="FF9B3B34"/>
        <bgColor rgb="FF993366"/>
      </patternFill>
    </fill>
  </fills>
  <borders count="5">
    <border>
      <left/>
      <right/>
      <top/>
      <bottom/>
      <diagonal/>
    </border>
    <border>
      <left style="thin">
        <color rgb="FFC9C3B8"/>
      </left>
      <right style="thin">
        <color rgb="FFC9C3B8"/>
      </right>
      <top style="thin">
        <color rgb="FFC9C3B8"/>
      </top>
      <bottom style="thin">
        <color rgb="FFC9C3B8"/>
      </bottom>
      <diagonal/>
    </border>
    <border>
      <left style="thin">
        <color rgb="FFC9C3B8"/>
      </left>
      <right style="thin">
        <color rgb="FFC9C3B8"/>
      </right>
      <top/>
      <bottom style="thin">
        <color rgb="FFC9C3B8"/>
      </bottom>
      <diagonal/>
    </border>
    <border>
      <left style="thin">
        <color rgb="FFC9C3B8"/>
      </left>
      <right style="thin">
        <color rgb="FFC9C3B8"/>
      </right>
      <top style="medium">
        <color rgb="FF1B2A36"/>
      </top>
      <bottom style="medium">
        <color rgb="FF1B2A36"/>
      </bottom>
      <diagonal/>
    </border>
    <border>
      <left style="hair">
        <color rgb="FFC9C3B8"/>
      </left>
      <right style="hair">
        <color rgb="FFC9C3B8"/>
      </right>
      <top style="hair">
        <color rgb="FFC9C3B8"/>
      </top>
      <bottom style="hair">
        <color rgb="FFC9C3B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9" fillId="6" borderId="0" xfId="0" applyFont="1" applyFill="1" applyAlignment="1">
      <alignment horizontal="left" vertical="center" indent="1"/>
    </xf>
    <xf numFmtId="0" fontId="12" fillId="5" borderId="0" xfId="0" applyFont="1" applyFill="1" applyAlignment="1">
      <alignment horizontal="right" vertical="center" indent="1"/>
    </xf>
    <xf numFmtId="0" fontId="11" fillId="6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14" fontId="7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4" fontId="7" fillId="4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14" fillId="6" borderId="3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 wrapText="1"/>
    </xf>
    <xf numFmtId="1" fontId="8" fillId="8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165" fontId="8" fillId="8" borderId="1" xfId="0" applyNumberFormat="1" applyFont="1" applyFill="1" applyBorder="1" applyAlignment="1">
      <alignment horizontal="right" vertical="center"/>
    </xf>
    <xf numFmtId="14" fontId="7" fillId="4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14" fontId="16" fillId="4" borderId="1" xfId="0" applyNumberFormat="1" applyFont="1" applyFill="1" applyBorder="1" applyAlignment="1">
      <alignment horizontal="center" vertical="center" wrapText="1"/>
    </xf>
    <xf numFmtId="166" fontId="17" fillId="6" borderId="3" xfId="0" applyNumberFormat="1" applyFont="1" applyFill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168" fontId="0" fillId="0" borderId="4" xfId="0" applyNumberFormat="1" applyBorder="1"/>
    <xf numFmtId="0" fontId="8" fillId="8" borderId="1" xfId="0" applyFont="1" applyFill="1" applyBorder="1" applyAlignment="1">
      <alignment horizontal="center" vertical="center" wrapText="1"/>
    </xf>
    <xf numFmtId="167" fontId="8" fillId="8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165" fontId="7" fillId="4" borderId="1" xfId="0" applyNumberFormat="1" applyFont="1" applyFill="1" applyBorder="1" applyAlignment="1">
      <alignment horizontal="left" vertical="center" wrapText="1"/>
    </xf>
    <xf numFmtId="0" fontId="0" fillId="6" borderId="0" xfId="0" applyFill="1"/>
    <xf numFmtId="0" fontId="19" fillId="6" borderId="0" xfId="0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4" fontId="19" fillId="6" borderId="0" xfId="0" applyNumberFormat="1" applyFont="1" applyFill="1" applyAlignment="1">
      <alignment horizontal="center" vertical="center" wrapText="1"/>
    </xf>
    <xf numFmtId="0" fontId="20" fillId="0" borderId="0" xfId="0" applyFont="1"/>
    <xf numFmtId="0" fontId="21" fillId="0" borderId="1" xfId="0" applyFont="1" applyBorder="1" applyAlignment="1">
      <alignment horizontal="center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14" fillId="6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indent="1"/>
    </xf>
    <xf numFmtId="0" fontId="9" fillId="7" borderId="0" xfId="0" applyFont="1" applyFill="1" applyAlignment="1">
      <alignment horizontal="left" vertical="center" indent="1"/>
    </xf>
    <xf numFmtId="1" fontId="13" fillId="8" borderId="2" xfId="0" applyNumberFormat="1" applyFont="1" applyFill="1" applyBorder="1" applyAlignment="1">
      <alignment horizontal="center" vertical="center"/>
    </xf>
    <xf numFmtId="164" fontId="13" fillId="8" borderId="2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left" vertical="center" indent="1"/>
    </xf>
    <xf numFmtId="0" fontId="7" fillId="4" borderId="1" xfId="0" applyFont="1" applyFill="1" applyBorder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19">
    <dxf>
      <font>
        <b/>
        <sz val="9"/>
        <color rgb="FF9B3B34"/>
        <name val="Arial"/>
        <charset val="1"/>
      </font>
      <fill>
        <patternFill>
          <bgColor rgb="FFF7E4E2"/>
        </patternFill>
      </fill>
    </dxf>
    <dxf>
      <font>
        <b/>
        <sz val="9"/>
        <color rgb="FF9B3B34"/>
        <name val="Arial"/>
        <charset val="1"/>
      </font>
      <fill>
        <patternFill>
          <bgColor rgb="FFF7E4E2"/>
        </patternFill>
      </fill>
    </dxf>
    <dxf>
      <font>
        <b/>
        <sz val="9"/>
        <color rgb="FF2F6B4F"/>
        <name val="Arial"/>
        <charset val="1"/>
      </font>
      <fill>
        <patternFill>
          <bgColor rgb="FFE3F0E7"/>
        </patternFill>
      </fill>
    </dxf>
    <dxf>
      <font>
        <b/>
        <sz val="9"/>
        <color rgb="FFB0611C"/>
        <name val="Arial"/>
        <charset val="1"/>
      </font>
      <fill>
        <patternFill>
          <bgColor rgb="FFFBEEDF"/>
        </patternFill>
      </fill>
    </dxf>
    <dxf>
      <font>
        <b/>
        <sz val="9"/>
        <color rgb="FF9B3B34"/>
        <name val="Arial"/>
        <charset val="1"/>
      </font>
      <fill>
        <patternFill>
          <bgColor rgb="FFF7E4E2"/>
        </patternFill>
      </fill>
    </dxf>
    <dxf>
      <font>
        <b/>
        <sz val="9"/>
        <color rgb="FF9B3B34"/>
        <name val="Arial"/>
        <charset val="1"/>
      </font>
      <fill>
        <patternFill>
          <bgColor rgb="FFF7E4E2"/>
        </patternFill>
      </fill>
    </dxf>
    <dxf>
      <font>
        <b/>
        <sz val="9"/>
        <color rgb="FFB0611C"/>
        <name val="Arial"/>
        <charset val="1"/>
      </font>
      <fill>
        <patternFill>
          <bgColor rgb="FFFBEEDF"/>
        </patternFill>
      </fill>
    </dxf>
    <dxf>
      <font>
        <b/>
        <sz val="9"/>
        <color rgb="FF2F6B4F"/>
        <name val="Arial"/>
        <charset val="1"/>
      </font>
      <fill>
        <patternFill>
          <bgColor rgb="FFE3F0E7"/>
        </patternFill>
      </fill>
    </dxf>
    <dxf>
      <font>
        <b/>
        <sz val="9"/>
        <color rgb="FFB0611C"/>
        <name val="Arial"/>
        <charset val="1"/>
      </font>
      <fill>
        <patternFill>
          <bgColor rgb="FFFBEEDF"/>
        </patternFill>
      </fill>
    </dxf>
    <dxf>
      <font>
        <b/>
        <sz val="9"/>
        <color rgb="FF9B3B34"/>
        <name val="Arial"/>
        <charset val="1"/>
      </font>
      <fill>
        <patternFill>
          <bgColor rgb="FFF7E4E2"/>
        </patternFill>
      </fill>
    </dxf>
    <dxf>
      <fill>
        <patternFill>
          <bgColor rgb="FFF0E2D3"/>
        </patternFill>
      </fill>
    </dxf>
    <dxf>
      <fill>
        <patternFill>
          <bgColor rgb="FF2F6B4F"/>
        </patternFill>
      </fill>
    </dxf>
    <dxf>
      <fill>
        <patternFill>
          <bgColor rgb="FFB0611C"/>
        </patternFill>
      </fill>
    </dxf>
    <dxf>
      <font>
        <b/>
        <sz val="9"/>
        <color rgb="FF6E7C86"/>
        <name val="Arial"/>
        <charset val="1"/>
      </font>
      <fill>
        <patternFill>
          <bgColor rgb="FFE7E3DA"/>
        </patternFill>
      </fill>
    </dxf>
    <dxf>
      <font>
        <b/>
        <sz val="9"/>
        <color rgb="FF9B3B34"/>
        <name val="Arial"/>
        <charset val="1"/>
      </font>
      <fill>
        <patternFill>
          <bgColor rgb="FFF7E4E2"/>
        </patternFill>
      </fill>
    </dxf>
    <dxf>
      <font>
        <b/>
        <sz val="9"/>
        <color rgb="FF2F6B4F"/>
        <name val="Arial"/>
        <charset val="1"/>
      </font>
      <fill>
        <patternFill>
          <bgColor rgb="FFE3F0E7"/>
        </patternFill>
      </fill>
    </dxf>
    <dxf>
      <font>
        <b/>
        <sz val="9"/>
        <color rgb="FF2F6B4F"/>
        <name val="Arial"/>
        <charset val="1"/>
      </font>
      <fill>
        <patternFill>
          <bgColor rgb="FFE3F0E7"/>
        </patternFill>
      </fill>
    </dxf>
    <dxf>
      <font>
        <b/>
        <sz val="9"/>
        <color rgb="FFB0611C"/>
        <name val="Arial"/>
        <charset val="1"/>
      </font>
      <fill>
        <patternFill>
          <bgColor rgb="FFFBEEDF"/>
        </patternFill>
      </fill>
    </dxf>
    <dxf>
      <font>
        <b/>
        <sz val="9"/>
        <color rgb="FF9B3B34"/>
        <name val="Arial"/>
        <charset val="1"/>
      </font>
      <fill>
        <patternFill>
          <bgColor rgb="FFF7E4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B0611C"/>
      <rgbColor rgb="FF800080"/>
      <rgbColor rgb="FF2F6B4F"/>
      <rgbColor rgb="FFC9C3B8"/>
      <rgbColor rgb="FF6E7C86"/>
      <rgbColor rgb="FF9999FF"/>
      <rgbColor rgb="FF9B3B34"/>
      <rgbColor rgb="FFFFF9E3"/>
      <rgbColor rgb="FFE3F0E7"/>
      <rgbColor rgb="FF660066"/>
      <rgbColor rgb="FFFF8080"/>
      <rgbColor rgb="FF0066CC"/>
      <rgbColor rgb="FFC6CF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1EC"/>
      <rgbColor rgb="FFE7E3DA"/>
      <rgbColor rgb="FFFBEEDF"/>
      <rgbColor rgb="FFF7E4E2"/>
      <rgbColor rgb="FFFF99CC"/>
      <rgbColor rgb="FFCC99FF"/>
      <rgbColor rgb="FFF0E2D3"/>
      <rgbColor rgb="FF3366FF"/>
      <rgbColor rgb="FF33CCCC"/>
      <rgbColor rgb="FF99CC00"/>
      <rgbColor rgb="FFFFCC00"/>
      <rgbColor rgb="FFFF9900"/>
      <rgbColor rgb="FFFF6600"/>
      <rgbColor rgb="FF666699"/>
      <rgbColor rgb="FF8C9AA4"/>
      <rgbColor rgb="FF1B2A36"/>
      <rgbColor rgb="FF339966"/>
      <rgbColor rgb="FF003300"/>
      <rgbColor rgb="FF333300"/>
      <rgbColor rgb="FF993300"/>
      <rgbColor rgb="FF993366"/>
      <rgbColor rgb="FF333399"/>
      <rgbColor rgb="FF2E41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0611C"/>
  </sheetPr>
  <dimension ref="A1:H45"/>
  <sheetViews>
    <sheetView showGridLines="0" topLeftCell="A27" zoomScaleNormal="100" workbookViewId="0">
      <selection activeCell="C36" sqref="C36:E36"/>
    </sheetView>
  </sheetViews>
  <sheetFormatPr baseColWidth="10" defaultColWidth="8.6640625" defaultRowHeight="14.4" x14ac:dyDescent="0.3"/>
  <cols>
    <col min="1" max="1" width="3" customWidth="1"/>
    <col min="2" max="2" width="22" customWidth="1"/>
    <col min="3" max="5" width="26" customWidth="1"/>
    <col min="6" max="6" width="22" customWidth="1"/>
    <col min="7" max="7" width="14" customWidth="1"/>
    <col min="8" max="8" width="3" customWidth="1"/>
  </cols>
  <sheetData>
    <row r="1" spans="1:8" ht="9.75" customHeight="1" x14ac:dyDescent="0.3">
      <c r="A1" s="15"/>
      <c r="B1" s="15"/>
      <c r="C1" s="15"/>
      <c r="D1" s="15"/>
      <c r="E1" s="15"/>
      <c r="F1" s="15"/>
      <c r="G1" s="15"/>
      <c r="H1" s="15"/>
    </row>
    <row r="2" spans="1:8" ht="19.5" customHeight="1" x14ac:dyDescent="0.3">
      <c r="A2" s="15"/>
      <c r="B2" s="15"/>
      <c r="C2" s="15"/>
      <c r="D2" s="15"/>
      <c r="E2" s="15"/>
      <c r="F2" s="15"/>
      <c r="G2" s="15"/>
      <c r="H2" s="15"/>
    </row>
    <row r="3" spans="1:8" ht="19.5" customHeight="1" x14ac:dyDescent="0.3">
      <c r="A3" s="15"/>
      <c r="B3" s="15"/>
      <c r="C3" s="15"/>
      <c r="D3" s="15"/>
      <c r="E3" s="15"/>
      <c r="F3" s="15"/>
      <c r="G3" s="15"/>
      <c r="H3" s="15"/>
    </row>
    <row r="4" spans="1:8" ht="19.5" customHeight="1" x14ac:dyDescent="0.3">
      <c r="A4" s="15"/>
      <c r="B4" s="14" t="s">
        <v>0</v>
      </c>
      <c r="C4" s="14"/>
      <c r="D4" s="14"/>
      <c r="E4" s="14"/>
      <c r="F4" s="15"/>
      <c r="G4" s="15"/>
      <c r="H4" s="15"/>
    </row>
    <row r="5" spans="1:8" ht="19.5" customHeight="1" x14ac:dyDescent="0.3">
      <c r="A5" s="15"/>
      <c r="B5" s="15"/>
      <c r="C5" s="15"/>
      <c r="D5" s="15"/>
      <c r="E5" s="15"/>
      <c r="F5" s="15"/>
      <c r="G5" s="15"/>
      <c r="H5" s="15"/>
    </row>
    <row r="6" spans="1:8" ht="19.5" customHeight="1" x14ac:dyDescent="0.3">
      <c r="A6" s="15"/>
      <c r="B6" s="13" t="s">
        <v>1</v>
      </c>
      <c r="C6" s="13"/>
      <c r="D6" s="13"/>
      <c r="E6" s="13"/>
      <c r="F6" s="15"/>
      <c r="G6" s="15"/>
      <c r="H6" s="15"/>
    </row>
    <row r="7" spans="1:8" ht="19.5" customHeight="1" x14ac:dyDescent="0.3">
      <c r="A7" s="15"/>
      <c r="B7" s="13"/>
      <c r="C7" s="13"/>
      <c r="D7" s="13"/>
      <c r="E7" s="13"/>
      <c r="F7" s="15"/>
      <c r="G7" s="15"/>
      <c r="H7" s="15"/>
    </row>
    <row r="8" spans="1:8" ht="19.5" customHeight="1" x14ac:dyDescent="0.3">
      <c r="A8" s="15"/>
      <c r="B8" s="15"/>
      <c r="C8" s="15"/>
      <c r="D8" s="15"/>
      <c r="E8" s="15"/>
      <c r="F8" s="15"/>
      <c r="G8" s="15"/>
      <c r="H8" s="15"/>
    </row>
    <row r="9" spans="1:8" ht="19.5" customHeight="1" x14ac:dyDescent="0.3">
      <c r="A9" s="15"/>
      <c r="B9" s="12" t="s">
        <v>2</v>
      </c>
      <c r="C9" s="12"/>
      <c r="D9" s="12"/>
      <c r="E9" s="12"/>
      <c r="F9" s="15"/>
      <c r="G9" s="15"/>
      <c r="H9" s="15"/>
    </row>
    <row r="10" spans="1:8" ht="19.5" customHeight="1" x14ac:dyDescent="0.3">
      <c r="A10" s="15"/>
      <c r="B10" s="15"/>
      <c r="C10" s="15"/>
      <c r="D10" s="15"/>
      <c r="E10" s="15"/>
      <c r="F10" s="15"/>
      <c r="G10" s="15"/>
      <c r="H10" s="15"/>
    </row>
    <row r="11" spans="1:8" ht="19.5" customHeight="1" x14ac:dyDescent="0.3">
      <c r="A11" s="15"/>
      <c r="B11" s="11" t="s">
        <v>3</v>
      </c>
      <c r="C11" s="11"/>
      <c r="D11" s="11"/>
      <c r="E11" s="11"/>
      <c r="F11" s="15"/>
      <c r="G11" s="15"/>
      <c r="H11" s="15"/>
    </row>
    <row r="12" spans="1:8" ht="19.5" customHeight="1" x14ac:dyDescent="0.3">
      <c r="A12" s="15"/>
      <c r="B12" s="15"/>
      <c r="C12" s="15"/>
      <c r="D12" s="15"/>
      <c r="E12" s="15"/>
      <c r="F12" s="15"/>
      <c r="G12" s="15"/>
      <c r="H12" s="15"/>
    </row>
    <row r="15" spans="1:8" ht="19.5" customHeight="1" x14ac:dyDescent="0.3">
      <c r="B15" s="10" t="s">
        <v>4</v>
      </c>
      <c r="C15" s="10"/>
      <c r="D15" s="10"/>
      <c r="E15" s="10"/>
    </row>
    <row r="16" spans="1:8" ht="18" customHeight="1" x14ac:dyDescent="0.3">
      <c r="B16" s="16" t="s">
        <v>5</v>
      </c>
      <c r="C16" s="9" t="s">
        <v>6</v>
      </c>
      <c r="D16" s="9"/>
      <c r="E16" s="9"/>
    </row>
    <row r="17" spans="2:5" ht="18" customHeight="1" x14ac:dyDescent="0.3">
      <c r="B17" s="16" t="s">
        <v>7</v>
      </c>
      <c r="C17" s="9" t="s">
        <v>8</v>
      </c>
      <c r="D17" s="9"/>
      <c r="E17" s="9"/>
    </row>
    <row r="18" spans="2:5" ht="18" customHeight="1" x14ac:dyDescent="0.3">
      <c r="B18" s="16" t="s">
        <v>9</v>
      </c>
      <c r="C18" s="9" t="s">
        <v>10</v>
      </c>
      <c r="D18" s="9"/>
      <c r="E18" s="9"/>
    </row>
    <row r="19" spans="2:5" ht="18" customHeight="1" x14ac:dyDescent="0.3">
      <c r="B19" s="16" t="s">
        <v>11</v>
      </c>
      <c r="C19" s="9" t="s">
        <v>12</v>
      </c>
      <c r="D19" s="9"/>
      <c r="E19" s="9"/>
    </row>
    <row r="20" spans="2:5" ht="18" customHeight="1" x14ac:dyDescent="0.3">
      <c r="B20" s="16" t="s">
        <v>13</v>
      </c>
      <c r="C20" s="8">
        <v>46234</v>
      </c>
      <c r="D20" s="8"/>
      <c r="E20" s="8"/>
    </row>
    <row r="21" spans="2:5" ht="18" customHeight="1" x14ac:dyDescent="0.3">
      <c r="B21" s="16" t="s">
        <v>14</v>
      </c>
      <c r="C21" s="8">
        <v>46354</v>
      </c>
      <c r="D21" s="8"/>
      <c r="E21" s="8"/>
    </row>
    <row r="22" spans="2:5" ht="18" customHeight="1" x14ac:dyDescent="0.3">
      <c r="B22" s="16" t="s">
        <v>15</v>
      </c>
      <c r="C22" s="9" t="s">
        <v>255</v>
      </c>
      <c r="D22" s="9"/>
      <c r="E22" s="9"/>
    </row>
    <row r="24" spans="2:5" ht="19.5" customHeight="1" x14ac:dyDescent="0.3">
      <c r="B24" s="10" t="s">
        <v>16</v>
      </c>
      <c r="C24" s="10"/>
      <c r="D24" s="10"/>
      <c r="E24" s="10"/>
    </row>
    <row r="25" spans="2:5" ht="15.75" customHeight="1" x14ac:dyDescent="0.3">
      <c r="B25" s="19" t="s">
        <v>17</v>
      </c>
      <c r="C25" s="7" t="s">
        <v>18</v>
      </c>
      <c r="D25" s="7"/>
      <c r="E25" s="7"/>
    </row>
    <row r="26" spans="2:5" ht="15.75" customHeight="1" x14ac:dyDescent="0.3">
      <c r="B26" s="19" t="s">
        <v>19</v>
      </c>
      <c r="C26" s="7" t="s">
        <v>20</v>
      </c>
      <c r="D26" s="7"/>
      <c r="E26" s="7"/>
    </row>
    <row r="27" spans="2:5" ht="15.75" customHeight="1" x14ac:dyDescent="0.3">
      <c r="B27" s="19" t="s">
        <v>21</v>
      </c>
      <c r="C27" s="7" t="s">
        <v>22</v>
      </c>
      <c r="D27" s="7"/>
      <c r="E27" s="7"/>
    </row>
    <row r="28" spans="2:5" ht="15.75" customHeight="1" x14ac:dyDescent="0.3">
      <c r="B28" s="19" t="s">
        <v>23</v>
      </c>
      <c r="C28" s="7" t="s">
        <v>24</v>
      </c>
      <c r="D28" s="7"/>
      <c r="E28" s="7"/>
    </row>
    <row r="29" spans="2:5" ht="15.75" customHeight="1" x14ac:dyDescent="0.3">
      <c r="B29" s="19" t="s">
        <v>25</v>
      </c>
      <c r="C29" s="7" t="s">
        <v>26</v>
      </c>
      <c r="D29" s="7"/>
      <c r="E29" s="7"/>
    </row>
    <row r="30" spans="2:5" ht="15.75" customHeight="1" x14ac:dyDescent="0.3">
      <c r="B30" s="19" t="s">
        <v>27</v>
      </c>
      <c r="C30" s="7" t="s">
        <v>28</v>
      </c>
      <c r="D30" s="7"/>
      <c r="E30" s="7"/>
    </row>
    <row r="31" spans="2:5" ht="15.75" customHeight="1" x14ac:dyDescent="0.3">
      <c r="B31" s="19" t="s">
        <v>29</v>
      </c>
      <c r="C31" s="7" t="s">
        <v>30</v>
      </c>
      <c r="D31" s="7"/>
      <c r="E31" s="7"/>
    </row>
    <row r="32" spans="2:5" ht="15.75" customHeight="1" x14ac:dyDescent="0.3">
      <c r="B32" s="19" t="s">
        <v>31</v>
      </c>
      <c r="C32" s="7" t="s">
        <v>32</v>
      </c>
      <c r="D32" s="7"/>
      <c r="E32" s="7"/>
    </row>
    <row r="33" spans="2:6" ht="15.75" customHeight="1" x14ac:dyDescent="0.3">
      <c r="B33" s="19" t="s">
        <v>33</v>
      </c>
      <c r="C33" s="7" t="s">
        <v>34</v>
      </c>
      <c r="D33" s="7"/>
      <c r="E33" s="7"/>
    </row>
    <row r="34" spans="2:6" ht="15.75" customHeight="1" x14ac:dyDescent="0.3">
      <c r="B34" s="19" t="s">
        <v>35</v>
      </c>
      <c r="C34" s="7" t="s">
        <v>36</v>
      </c>
      <c r="D34" s="7"/>
      <c r="E34" s="7"/>
    </row>
    <row r="35" spans="2:6" ht="15.75" customHeight="1" x14ac:dyDescent="0.3">
      <c r="B35" s="19" t="s">
        <v>37</v>
      </c>
      <c r="C35" s="7" t="s">
        <v>38</v>
      </c>
      <c r="D35" s="7"/>
      <c r="E35" s="7"/>
    </row>
    <row r="36" spans="2:6" ht="15.75" customHeight="1" x14ac:dyDescent="0.3">
      <c r="B36" s="19" t="s">
        <v>39</v>
      </c>
      <c r="C36" s="7" t="s">
        <v>40</v>
      </c>
      <c r="D36" s="7"/>
      <c r="E36" s="7"/>
    </row>
    <row r="38" spans="2:6" ht="19.5" customHeight="1" x14ac:dyDescent="0.3">
      <c r="B38" s="10" t="s">
        <v>41</v>
      </c>
      <c r="C38" s="10"/>
      <c r="D38" s="10"/>
      <c r="E38" s="10"/>
    </row>
    <row r="39" spans="2:6" ht="25.5" customHeight="1" x14ac:dyDescent="0.3">
      <c r="B39" s="21" t="s">
        <v>42</v>
      </c>
      <c r="C39" s="6" t="s">
        <v>43</v>
      </c>
      <c r="D39" s="6"/>
      <c r="E39" s="6"/>
    </row>
    <row r="40" spans="2:6" ht="25.5" customHeight="1" x14ac:dyDescent="0.3">
      <c r="B40" s="21" t="s">
        <v>44</v>
      </c>
      <c r="C40" s="6" t="s">
        <v>45</v>
      </c>
      <c r="D40" s="6"/>
      <c r="E40" s="6"/>
    </row>
    <row r="41" spans="2:6" ht="25.5" customHeight="1" x14ac:dyDescent="0.3">
      <c r="B41" s="21" t="s">
        <v>46</v>
      </c>
      <c r="C41" s="6" t="s">
        <v>47</v>
      </c>
      <c r="D41" s="6"/>
      <c r="E41" s="6"/>
    </row>
    <row r="42" spans="2:6" ht="25.5" customHeight="1" x14ac:dyDescent="0.3">
      <c r="B42" s="21" t="s">
        <v>48</v>
      </c>
      <c r="C42" s="6" t="s">
        <v>49</v>
      </c>
      <c r="D42" s="6"/>
      <c r="E42" s="6"/>
    </row>
    <row r="43" spans="2:6" ht="25.5" customHeight="1" x14ac:dyDescent="0.3">
      <c r="B43" s="21" t="s">
        <v>50</v>
      </c>
      <c r="C43" s="6" t="s">
        <v>51</v>
      </c>
      <c r="D43" s="6"/>
      <c r="E43" s="6"/>
    </row>
    <row r="45" spans="2:6" ht="19.5" customHeight="1" x14ac:dyDescent="0.3">
      <c r="B45" s="5" t="s">
        <v>52</v>
      </c>
      <c r="C45" s="5"/>
      <c r="D45" s="5"/>
      <c r="E45" s="5"/>
      <c r="F45" s="5"/>
    </row>
  </sheetData>
  <mergeCells count="32">
    <mergeCell ref="C43:E43"/>
    <mergeCell ref="B45:F45"/>
    <mergeCell ref="B38:E38"/>
    <mergeCell ref="C39:E39"/>
    <mergeCell ref="C40:E40"/>
    <mergeCell ref="C41:E41"/>
    <mergeCell ref="C42:E42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1:E21"/>
    <mergeCell ref="C22:E22"/>
    <mergeCell ref="B24:E24"/>
    <mergeCell ref="C25:E25"/>
    <mergeCell ref="C26:E26"/>
    <mergeCell ref="C16:E16"/>
    <mergeCell ref="C17:E17"/>
    <mergeCell ref="C18:E18"/>
    <mergeCell ref="C19:E19"/>
    <mergeCell ref="C20:E20"/>
    <mergeCell ref="B4:E4"/>
    <mergeCell ref="B6:E7"/>
    <mergeCell ref="B9:E9"/>
    <mergeCell ref="B11:E11"/>
    <mergeCell ref="B15:E15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0611C"/>
  </sheetPr>
  <dimension ref="A1:L38"/>
  <sheetViews>
    <sheetView showGridLines="0" zoomScaleNormal="100" workbookViewId="0">
      <selection sqref="A1:L1"/>
    </sheetView>
  </sheetViews>
  <sheetFormatPr baseColWidth="10" defaultColWidth="8.6640625" defaultRowHeight="14.4" x14ac:dyDescent="0.3"/>
  <cols>
    <col min="1" max="1" width="3" customWidth="1"/>
    <col min="2" max="2" width="26" customWidth="1"/>
    <col min="3" max="4" width="14" customWidth="1"/>
    <col min="5" max="5" width="26" customWidth="1"/>
    <col min="6" max="7" width="14" customWidth="1"/>
    <col min="8" max="8" width="26" customWidth="1"/>
    <col min="9" max="10" width="14" customWidth="1"/>
    <col min="11" max="12" width="3" customWidth="1"/>
  </cols>
  <sheetData>
    <row r="1" spans="1:12" ht="25.5" customHeight="1" x14ac:dyDescent="0.3">
      <c r="A1" s="4" t="s">
        <v>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" customHeight="1" x14ac:dyDescent="0.3">
      <c r="A2" s="3" t="s">
        <v>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7.5" customHeight="1" x14ac:dyDescent="0.3"/>
    <row r="6" spans="1:12" ht="19.5" customHeight="1" x14ac:dyDescent="0.3">
      <c r="B6" s="10" t="s">
        <v>55</v>
      </c>
      <c r="C6" s="10"/>
      <c r="D6" s="10"/>
      <c r="E6" s="10"/>
      <c r="F6" s="10"/>
      <c r="G6" s="10"/>
      <c r="H6" s="10"/>
      <c r="I6" s="10"/>
    </row>
    <row r="8" spans="1:12" ht="16.5" customHeight="1" x14ac:dyDescent="0.3">
      <c r="B8" s="1" t="s">
        <v>56</v>
      </c>
      <c r="C8" s="1"/>
      <c r="E8" s="51" t="s">
        <v>57</v>
      </c>
      <c r="F8" s="51"/>
      <c r="H8" s="52" t="s">
        <v>58</v>
      </c>
      <c r="I8" s="52"/>
    </row>
    <row r="9" spans="1:12" ht="33.75" customHeight="1" x14ac:dyDescent="0.3">
      <c r="B9" s="53">
        <f>COUNTIF('Plan de Tareas'!$C$7:$C$126,"?*")</f>
        <v>2</v>
      </c>
      <c r="C9" s="53"/>
      <c r="E9" s="54">
        <f>IFERROR(SUMPRODUCT(('Plan de Tareas'!$C$7:$C$126&lt;&gt;"")*('Plan de Tareas'!$I$7:$I$126))/COUNTIF('Plan de Tareas'!$C$7:$C$126,"?*"),0)</f>
        <v>0.3</v>
      </c>
      <c r="F9" s="54"/>
      <c r="H9" s="53">
        <f>COUNTIF('Plan de Tareas'!$J$7:$J$126,"Completada")</f>
        <v>0</v>
      </c>
      <c r="I9" s="53"/>
    </row>
    <row r="11" spans="1:12" ht="16.5" customHeight="1" x14ac:dyDescent="0.3">
      <c r="B11" s="1" t="s">
        <v>59</v>
      </c>
      <c r="C11" s="1"/>
      <c r="E11" s="55" t="s">
        <v>60</v>
      </c>
      <c r="F11" s="55"/>
      <c r="H11" s="51" t="s">
        <v>61</v>
      </c>
      <c r="I11" s="51"/>
    </row>
    <row r="12" spans="1:12" ht="33.75" customHeight="1" x14ac:dyDescent="0.3">
      <c r="B12" s="53">
        <f>COUNTIF('Plan de Tareas'!$J$7:$J$126,"En curso")</f>
        <v>1</v>
      </c>
      <c r="C12" s="53"/>
      <c r="E12" s="53">
        <f ca="1">COUNTIF('Plan de Tareas'!$L$7:$L$126,"Vencida")</f>
        <v>0</v>
      </c>
      <c r="F12" s="53"/>
      <c r="H12" s="53">
        <f ca="1">COUNTIF('Plan de Tareas'!$L$7:$L$126,"Por vencer")</f>
        <v>0</v>
      </c>
      <c r="I12" s="53"/>
    </row>
    <row r="15" spans="1:12" ht="19.5" customHeight="1" x14ac:dyDescent="0.3">
      <c r="B15" s="10" t="s">
        <v>62</v>
      </c>
      <c r="C15" s="10"/>
      <c r="D15" s="10"/>
      <c r="E15" s="10"/>
      <c r="F15" s="10"/>
      <c r="G15" s="10"/>
      <c r="H15" s="10"/>
      <c r="I15" s="10"/>
    </row>
    <row r="17" spans="2:10" ht="16.5" customHeight="1" x14ac:dyDescent="0.3">
      <c r="B17" s="1" t="s">
        <v>63</v>
      </c>
      <c r="C17" s="1"/>
      <c r="E17" s="55" t="s">
        <v>64</v>
      </c>
      <c r="F17" s="55"/>
      <c r="H17" s="51" t="s">
        <v>65</v>
      </c>
      <c r="I17" s="51"/>
    </row>
    <row r="18" spans="2:10" ht="33.75" customHeight="1" x14ac:dyDescent="0.3">
      <c r="B18" s="53">
        <f>COUNTIF(Riesgos!$L$7:$L$47,"Abierto")+COUNTIF(Riesgos!$L$7:$L$47,"En mitigación")</f>
        <v>1</v>
      </c>
      <c r="C18" s="53"/>
      <c r="E18" s="53">
        <f>COUNTIF(Riesgos!$G$7:$G$47,"Crítico")+COUNTIF(Riesgos!$G$7:$G$47,"Alto")</f>
        <v>1</v>
      </c>
      <c r="F18" s="53"/>
      <c r="H18" s="53">
        <f>COUNTIF(Incidencias!$H$7:$H$37,"Abierta")+COUNTIF(Incidencias!$H$7:$H$37,"En análisis")</f>
        <v>1</v>
      </c>
      <c r="I18" s="53"/>
    </row>
    <row r="21" spans="2:10" ht="19.5" customHeight="1" x14ac:dyDescent="0.3">
      <c r="B21" s="10" t="s">
        <v>66</v>
      </c>
      <c r="C21" s="10"/>
      <c r="D21" s="10"/>
      <c r="E21" s="10"/>
      <c r="F21" s="10"/>
      <c r="G21" s="10"/>
      <c r="H21" s="10"/>
      <c r="I21" s="10"/>
    </row>
    <row r="23" spans="2:10" ht="16.5" customHeight="1" x14ac:dyDescent="0.3">
      <c r="B23" s="52" t="s">
        <v>67</v>
      </c>
      <c r="C23" s="52"/>
      <c r="E23" s="55" t="s">
        <v>68</v>
      </c>
      <c r="F23" s="55"/>
      <c r="H23" s="51" t="s">
        <v>69</v>
      </c>
      <c r="I23" s="51"/>
    </row>
    <row r="24" spans="2:10" ht="33.75" customHeight="1" x14ac:dyDescent="0.3">
      <c r="B24" s="53">
        <f ca="1">COUNTIF(Hitos!$G$7:$G$37,"Cumplido")+COUNTIF(Hitos!$G$7:$G$37,"Cumplido con retraso")</f>
        <v>0</v>
      </c>
      <c r="C24" s="53"/>
      <c r="E24" s="53">
        <f ca="1">COUNTIF(Hitos!$G$7:$G$37,"Vencido")</f>
        <v>0</v>
      </c>
      <c r="F24" s="53"/>
      <c r="H24" s="54">
        <f>IFERROR((Presupuesto!$F$43+Presupuesto!$G$43)/Presupuesto!$E$43,0)</f>
        <v>0.25</v>
      </c>
      <c r="I24" s="54"/>
    </row>
    <row r="27" spans="2:10" ht="19.5" customHeight="1" x14ac:dyDescent="0.3">
      <c r="B27" s="10" t="s">
        <v>70</v>
      </c>
      <c r="C27" s="10"/>
      <c r="D27" s="10"/>
      <c r="E27" s="10"/>
      <c r="F27" s="10"/>
      <c r="G27" s="10"/>
      <c r="H27" s="10"/>
      <c r="I27" s="10"/>
    </row>
    <row r="28" spans="2:10" ht="30" customHeight="1" x14ac:dyDescent="0.3">
      <c r="B28" s="22" t="s">
        <v>71</v>
      </c>
      <c r="C28" s="22" t="s">
        <v>72</v>
      </c>
      <c r="D28" s="22" t="s">
        <v>73</v>
      </c>
      <c r="E28" s="22" t="s">
        <v>74</v>
      </c>
      <c r="F28" s="22" t="s">
        <v>72</v>
      </c>
      <c r="G28" s="22" t="s">
        <v>75</v>
      </c>
      <c r="H28" s="22" t="s">
        <v>76</v>
      </c>
      <c r="I28" s="22" t="s">
        <v>77</v>
      </c>
      <c r="J28" s="22" t="s">
        <v>78</v>
      </c>
    </row>
    <row r="29" spans="2:10" x14ac:dyDescent="0.3">
      <c r="B29" s="20" t="s">
        <v>79</v>
      </c>
      <c r="C29" s="23">
        <f>COUNTIF('Plan de Tareas'!$J$7:$J$126,"No iniciada")</f>
        <v>1</v>
      </c>
      <c r="D29" s="24">
        <f>IFERROR($C29/COUNTIF('Plan de Tareas'!$C$7:$C$126,"?*"),0)</f>
        <v>0.5</v>
      </c>
      <c r="E29" s="20" t="s">
        <v>80</v>
      </c>
      <c r="F29" s="23">
        <f>COUNTIF('Plan de Tareas'!$B$7:$B$126,"Inicio")</f>
        <v>0</v>
      </c>
      <c r="G29" s="24">
        <f>IFERROR(SUMIF('Plan de Tareas'!$B$7:$B$126,"Inicio",'Plan de Tareas'!$I$7:$I$126)/$F29,0)</f>
        <v>0</v>
      </c>
      <c r="H29" s="20" t="s">
        <v>81</v>
      </c>
      <c r="I29" s="25">
        <f>SUMIF(Presupuesto!$C$7:$C$42,"Personal",Presupuesto!$E$7:$E$42)</f>
        <v>0</v>
      </c>
      <c r="J29" s="25">
        <f>SUMIF(Presupuesto!$C$7:$C$42,"Personal",Presupuesto!$F$7:$F$42)</f>
        <v>0</v>
      </c>
    </row>
    <row r="30" spans="2:10" x14ac:dyDescent="0.3">
      <c r="B30" s="26" t="s">
        <v>82</v>
      </c>
      <c r="C30" s="27">
        <f>COUNTIF('Plan de Tareas'!$J$7:$J$126,"En curso")</f>
        <v>1</v>
      </c>
      <c r="D30" s="28">
        <f>IFERROR($C30/COUNTIF('Plan de Tareas'!$C$7:$C$126,"?*"),0)</f>
        <v>0.5</v>
      </c>
      <c r="E30" s="26" t="s">
        <v>83</v>
      </c>
      <c r="F30" s="27">
        <f>COUNTIF('Plan de Tareas'!$B$7:$B$126,"Planeación")</f>
        <v>1</v>
      </c>
      <c r="G30" s="28">
        <f>IFERROR(SUMIF('Plan de Tareas'!$B$7:$B$126,"Planeación",'Plan de Tareas'!$I$7:$I$126)/$F30,0)</f>
        <v>0.6</v>
      </c>
      <c r="H30" s="26" t="s">
        <v>84</v>
      </c>
      <c r="I30" s="29">
        <f>SUMIF(Presupuesto!$C$7:$C$42,"Licencias",Presupuesto!$E$7:$E$42)</f>
        <v>480000</v>
      </c>
      <c r="J30" s="29">
        <f>SUMIF(Presupuesto!$C$7:$C$42,"Licencias",Presupuesto!$F$7:$F$42)</f>
        <v>120000</v>
      </c>
    </row>
    <row r="31" spans="2:10" x14ac:dyDescent="0.3">
      <c r="B31" s="20" t="s">
        <v>85</v>
      </c>
      <c r="C31" s="23">
        <f>COUNTIF('Plan de Tareas'!$J$7:$J$126,"Bloqueada")</f>
        <v>0</v>
      </c>
      <c r="D31" s="24">
        <f>IFERROR($C31/COUNTIF('Plan de Tareas'!$C$7:$C$126,"?*"),0)</f>
        <v>0</v>
      </c>
      <c r="E31" s="20" t="s">
        <v>86</v>
      </c>
      <c r="F31" s="23">
        <f>COUNTIF('Plan de Tareas'!$B$7:$B$126,"Diseño")</f>
        <v>1</v>
      </c>
      <c r="G31" s="24">
        <f>IFERROR(SUMIF('Plan de Tareas'!$B$7:$B$126,"Diseño",'Plan de Tareas'!$I$7:$I$126)/$F31,0)</f>
        <v>0</v>
      </c>
      <c r="H31" s="20" t="s">
        <v>87</v>
      </c>
      <c r="I31" s="25">
        <f>SUMIF(Presupuesto!$C$7:$C$42,"Infraestructura",Presupuesto!$E$7:$E$42)</f>
        <v>0</v>
      </c>
      <c r="J31" s="25">
        <f>SUMIF(Presupuesto!$C$7:$C$42,"Infraestructura",Presupuesto!$F$7:$F$42)</f>
        <v>0</v>
      </c>
    </row>
    <row r="32" spans="2:10" x14ac:dyDescent="0.3">
      <c r="B32" s="26" t="s">
        <v>88</v>
      </c>
      <c r="C32" s="27">
        <f>COUNTIF('Plan de Tareas'!$J$7:$J$126,"Completada")</f>
        <v>0</v>
      </c>
      <c r="D32" s="28">
        <f>IFERROR($C32/COUNTIF('Plan de Tareas'!$C$7:$C$126,"?*"),0)</f>
        <v>0</v>
      </c>
      <c r="E32" s="26" t="s">
        <v>89</v>
      </c>
      <c r="F32" s="27">
        <f>COUNTIF('Plan de Tareas'!$B$7:$B$126,"Construcción")</f>
        <v>0</v>
      </c>
      <c r="G32" s="28">
        <f>IFERROR(SUMIF('Plan de Tareas'!$B$7:$B$126,"Construcción",'Plan de Tareas'!$I$7:$I$126)/$F32,0)</f>
        <v>0</v>
      </c>
      <c r="H32" s="26" t="s">
        <v>90</v>
      </c>
      <c r="I32" s="29">
        <f>SUMIF(Presupuesto!$C$7:$C$42,"Consultoría",Presupuesto!$E$7:$E$42)</f>
        <v>0</v>
      </c>
      <c r="J32" s="29">
        <f>SUMIF(Presupuesto!$C$7:$C$42,"Consultoría",Presupuesto!$F$7:$F$42)</f>
        <v>0</v>
      </c>
    </row>
    <row r="33" spans="2:10" x14ac:dyDescent="0.3">
      <c r="B33" s="20" t="s">
        <v>91</v>
      </c>
      <c r="C33" s="23">
        <f>COUNTIF('Plan de Tareas'!$J$7:$J$126,"Cancelada")</f>
        <v>0</v>
      </c>
      <c r="D33" s="24">
        <f>IFERROR($C33/COUNTIF('Plan de Tareas'!$C$7:$C$126,"?*"),0)</f>
        <v>0</v>
      </c>
      <c r="E33" s="20" t="s">
        <v>92</v>
      </c>
      <c r="F33" s="23">
        <f>COUNTIF('Plan de Tareas'!$B$7:$B$126,"Pruebas")</f>
        <v>0</v>
      </c>
      <c r="G33" s="24">
        <f>IFERROR(SUMIF('Plan de Tareas'!$B$7:$B$126,"Pruebas",'Plan de Tareas'!$I$7:$I$126)/$F33,0)</f>
        <v>0</v>
      </c>
      <c r="H33" s="20" t="s">
        <v>93</v>
      </c>
      <c r="I33" s="25">
        <f>SUMIF(Presupuesto!$C$7:$C$42,"Capacitación",Presupuesto!$E$7:$E$42)</f>
        <v>0</v>
      </c>
      <c r="J33" s="25">
        <f>SUMIF(Presupuesto!$C$7:$C$42,"Capacitación",Presupuesto!$F$7:$F$42)</f>
        <v>0</v>
      </c>
    </row>
    <row r="34" spans="2:10" x14ac:dyDescent="0.3">
      <c r="E34" s="26" t="s">
        <v>94</v>
      </c>
      <c r="F34" s="27">
        <f>COUNTIF('Plan de Tareas'!$B$7:$B$126,"Despliegue")</f>
        <v>0</v>
      </c>
      <c r="G34" s="28">
        <f>IFERROR(SUMIF('Plan de Tareas'!$B$7:$B$126,"Despliegue",'Plan de Tareas'!$I$7:$I$126)/$F34,0)</f>
        <v>0</v>
      </c>
      <c r="H34" s="26" t="s">
        <v>95</v>
      </c>
      <c r="I34" s="29">
        <f>SUMIF(Presupuesto!$C$7:$C$42,"Viáticos",Presupuesto!$E$7:$E$42)</f>
        <v>0</v>
      </c>
      <c r="J34" s="29">
        <f>SUMIF(Presupuesto!$C$7:$C$42,"Viáticos",Presupuesto!$F$7:$F$42)</f>
        <v>0</v>
      </c>
    </row>
    <row r="35" spans="2:10" x14ac:dyDescent="0.3">
      <c r="E35" s="20" t="s">
        <v>96</v>
      </c>
      <c r="F35" s="23">
        <f>COUNTIF('Plan de Tareas'!$B$7:$B$126,"Cierre")</f>
        <v>0</v>
      </c>
      <c r="G35" s="24">
        <f>IFERROR(SUMIF('Plan de Tareas'!$B$7:$B$126,"Cierre",'Plan de Tareas'!$I$7:$I$126)/$F35,0)</f>
        <v>0</v>
      </c>
      <c r="H35" s="20" t="s">
        <v>97</v>
      </c>
      <c r="I35" s="25">
        <f>SUMIF(Presupuesto!$C$7:$C$42,"Otros",Presupuesto!$E$7:$E$42)</f>
        <v>0</v>
      </c>
      <c r="J35" s="25">
        <f>SUMIF(Presupuesto!$C$7:$C$42,"Otros",Presupuesto!$F$7:$F$42)</f>
        <v>0</v>
      </c>
    </row>
    <row r="38" spans="2:10" ht="18" customHeight="1" x14ac:dyDescent="0.3">
      <c r="B38" s="5" t="s">
        <v>98</v>
      </c>
      <c r="C38" s="5"/>
      <c r="D38" s="5"/>
      <c r="E38" s="5"/>
      <c r="F38" s="5"/>
      <c r="G38" s="5"/>
      <c r="H38" s="5"/>
      <c r="I38" s="5"/>
      <c r="J38" s="5"/>
    </row>
  </sheetData>
  <mergeCells count="32">
    <mergeCell ref="B24:C24"/>
    <mergeCell ref="E24:F24"/>
    <mergeCell ref="H24:I24"/>
    <mergeCell ref="B27:I27"/>
    <mergeCell ref="B38:J38"/>
    <mergeCell ref="B18:C18"/>
    <mergeCell ref="E18:F18"/>
    <mergeCell ref="H18:I18"/>
    <mergeCell ref="B21:I21"/>
    <mergeCell ref="B23:C23"/>
    <mergeCell ref="E23:F23"/>
    <mergeCell ref="H23:I23"/>
    <mergeCell ref="B12:C12"/>
    <mergeCell ref="E12:F12"/>
    <mergeCell ref="H12:I12"/>
    <mergeCell ref="B15:I15"/>
    <mergeCell ref="B17:C17"/>
    <mergeCell ref="E17:F17"/>
    <mergeCell ref="H17:I17"/>
    <mergeCell ref="B9:C9"/>
    <mergeCell ref="E9:F9"/>
    <mergeCell ref="H9:I9"/>
    <mergeCell ref="B11:C11"/>
    <mergeCell ref="E11:F11"/>
    <mergeCell ref="H11:I11"/>
    <mergeCell ref="A1:L1"/>
    <mergeCell ref="A2:L2"/>
    <mergeCell ref="A3:L3"/>
    <mergeCell ref="B6:I6"/>
    <mergeCell ref="B8:C8"/>
    <mergeCell ref="E8:F8"/>
    <mergeCell ref="H8:I8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4150"/>
  </sheetPr>
  <dimension ref="A1:F27"/>
  <sheetViews>
    <sheetView showGridLines="0" topLeftCell="A14" zoomScaleNormal="100" workbookViewId="0">
      <selection activeCell="C7" sqref="C7:E7"/>
    </sheetView>
  </sheetViews>
  <sheetFormatPr baseColWidth="10" defaultColWidth="8.6640625" defaultRowHeight="14.4" x14ac:dyDescent="0.3"/>
  <cols>
    <col min="1" max="1" width="3" customWidth="1"/>
    <col min="2" max="5" width="30" customWidth="1"/>
    <col min="6" max="6" width="3" customWidth="1"/>
  </cols>
  <sheetData>
    <row r="1" spans="1:6" ht="25.5" customHeight="1" x14ac:dyDescent="0.3">
      <c r="A1" s="4" t="s">
        <v>99</v>
      </c>
      <c r="B1" s="4"/>
      <c r="C1" s="4"/>
      <c r="D1" s="4"/>
      <c r="E1" s="4"/>
      <c r="F1" s="4"/>
    </row>
    <row r="2" spans="1:6" ht="15" customHeight="1" x14ac:dyDescent="0.3">
      <c r="A2" s="3" t="s">
        <v>100</v>
      </c>
      <c r="B2" s="3"/>
      <c r="C2" s="3"/>
      <c r="D2" s="3"/>
      <c r="E2" s="3"/>
      <c r="F2" s="3"/>
    </row>
    <row r="3" spans="1:6" ht="12.75" customHeight="1" x14ac:dyDescent="0.3">
      <c r="A3" s="2" t="s">
        <v>3</v>
      </c>
      <c r="B3" s="2"/>
      <c r="C3" s="2"/>
      <c r="D3" s="2"/>
      <c r="E3" s="2"/>
      <c r="F3" s="2"/>
    </row>
    <row r="4" spans="1:6" ht="7.5" customHeight="1" x14ac:dyDescent="0.3"/>
    <row r="6" spans="1:6" ht="19.5" customHeight="1" x14ac:dyDescent="0.3">
      <c r="B6" s="10" t="s">
        <v>101</v>
      </c>
      <c r="C6" s="10"/>
      <c r="D6" s="10"/>
    </row>
    <row r="7" spans="1:6" ht="45" customHeight="1" x14ac:dyDescent="0.3">
      <c r="B7" s="21" t="s">
        <v>102</v>
      </c>
      <c r="C7" s="56"/>
      <c r="D7" s="56"/>
      <c r="E7" s="56"/>
    </row>
    <row r="8" spans="1:6" ht="45" customHeight="1" x14ac:dyDescent="0.3">
      <c r="B8" s="21" t="s">
        <v>103</v>
      </c>
      <c r="C8" s="56"/>
      <c r="D8" s="56"/>
      <c r="E8" s="56"/>
    </row>
    <row r="9" spans="1:6" ht="34.5" customHeight="1" x14ac:dyDescent="0.3">
      <c r="B9" s="21" t="s">
        <v>104</v>
      </c>
      <c r="C9" s="56"/>
      <c r="D9" s="56"/>
      <c r="E9" s="56"/>
    </row>
    <row r="11" spans="1:6" ht="19.5" customHeight="1" x14ac:dyDescent="0.3">
      <c r="B11" s="10" t="s">
        <v>105</v>
      </c>
      <c r="C11" s="10"/>
      <c r="D11" s="10"/>
    </row>
    <row r="12" spans="1:6" ht="45" customHeight="1" x14ac:dyDescent="0.3">
      <c r="B12" s="21" t="s">
        <v>106</v>
      </c>
      <c r="C12" s="56"/>
      <c r="D12" s="56"/>
      <c r="E12" s="56"/>
    </row>
    <row r="13" spans="1:6" ht="45" customHeight="1" x14ac:dyDescent="0.3">
      <c r="B13" s="21" t="s">
        <v>107</v>
      </c>
      <c r="C13" s="56"/>
      <c r="D13" s="56"/>
      <c r="E13" s="56"/>
    </row>
    <row r="14" spans="1:6" ht="34.5" customHeight="1" x14ac:dyDescent="0.3">
      <c r="B14" s="21" t="s">
        <v>108</v>
      </c>
      <c r="C14" s="56"/>
      <c r="D14" s="56"/>
      <c r="E14" s="56"/>
    </row>
    <row r="15" spans="1:6" ht="34.5" customHeight="1" x14ac:dyDescent="0.3">
      <c r="B15" s="21" t="s">
        <v>109</v>
      </c>
      <c r="C15" s="56"/>
      <c r="D15" s="56"/>
      <c r="E15" s="56"/>
    </row>
    <row r="17" spans="2:5" ht="19.5" customHeight="1" x14ac:dyDescent="0.3">
      <c r="B17" s="10" t="s">
        <v>110</v>
      </c>
      <c r="C17" s="10"/>
      <c r="D17" s="10"/>
    </row>
    <row r="18" spans="2:5" ht="21.75" customHeight="1" x14ac:dyDescent="0.3">
      <c r="B18" s="21" t="s">
        <v>11</v>
      </c>
      <c r="C18" s="56"/>
      <c r="D18" s="56"/>
      <c r="E18" s="56"/>
    </row>
    <row r="19" spans="2:5" ht="21.75" customHeight="1" x14ac:dyDescent="0.3">
      <c r="B19" s="21" t="s">
        <v>9</v>
      </c>
      <c r="C19" s="56"/>
      <c r="D19" s="56"/>
      <c r="E19" s="56"/>
    </row>
    <row r="20" spans="2:5" ht="21.75" customHeight="1" x14ac:dyDescent="0.3">
      <c r="B20" s="21" t="s">
        <v>111</v>
      </c>
      <c r="C20" s="56"/>
      <c r="D20" s="56"/>
      <c r="E20" s="56"/>
    </row>
    <row r="21" spans="2:5" ht="30" customHeight="1" x14ac:dyDescent="0.3">
      <c r="B21" s="21" t="s">
        <v>112</v>
      </c>
      <c r="C21" s="56"/>
      <c r="D21" s="56"/>
      <c r="E21" s="56"/>
    </row>
    <row r="23" spans="2:5" ht="19.5" customHeight="1" x14ac:dyDescent="0.3">
      <c r="B23" s="10" t="s">
        <v>113</v>
      </c>
      <c r="C23" s="10"/>
      <c r="D23" s="10"/>
    </row>
    <row r="24" spans="2:5" ht="24.75" customHeight="1" x14ac:dyDescent="0.3">
      <c r="B24" s="21" t="s">
        <v>114</v>
      </c>
      <c r="C24" s="56"/>
      <c r="D24" s="56"/>
      <c r="E24" s="56"/>
    </row>
    <row r="25" spans="2:5" ht="24.75" customHeight="1" x14ac:dyDescent="0.3">
      <c r="B25" s="21" t="s">
        <v>115</v>
      </c>
      <c r="C25" s="56"/>
      <c r="D25" s="56"/>
      <c r="E25" s="56"/>
    </row>
    <row r="26" spans="2:5" ht="24.75" customHeight="1" x14ac:dyDescent="0.3">
      <c r="B26" s="21" t="s">
        <v>116</v>
      </c>
      <c r="C26" s="56"/>
      <c r="D26" s="56"/>
      <c r="E26" s="56"/>
    </row>
    <row r="27" spans="2:5" ht="30" customHeight="1" x14ac:dyDescent="0.3">
      <c r="B27" s="21" t="s">
        <v>117</v>
      </c>
      <c r="C27" s="56"/>
      <c r="D27" s="56"/>
      <c r="E27" s="56"/>
    </row>
  </sheetData>
  <mergeCells count="22">
    <mergeCell ref="C26:E26"/>
    <mergeCell ref="C27:E27"/>
    <mergeCell ref="C20:E20"/>
    <mergeCell ref="C21:E21"/>
    <mergeCell ref="B23:D23"/>
    <mergeCell ref="C24:E24"/>
    <mergeCell ref="C25:E25"/>
    <mergeCell ref="C14:E14"/>
    <mergeCell ref="C15:E15"/>
    <mergeCell ref="B17:D17"/>
    <mergeCell ref="C18:E18"/>
    <mergeCell ref="C19:E19"/>
    <mergeCell ref="C8:E8"/>
    <mergeCell ref="C9:E9"/>
    <mergeCell ref="B11:D11"/>
    <mergeCell ref="C12:E12"/>
    <mergeCell ref="C13:E13"/>
    <mergeCell ref="A1:F1"/>
    <mergeCell ref="A2:F2"/>
    <mergeCell ref="A3:F3"/>
    <mergeCell ref="B6:D6"/>
    <mergeCell ref="C7:E7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4150"/>
  </sheetPr>
  <dimension ref="A1:N126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6640625" defaultRowHeight="14.4" x14ac:dyDescent="0.3"/>
  <cols>
    <col min="1" max="1" width="6" customWidth="1"/>
    <col min="2" max="2" width="15" customWidth="1"/>
    <col min="3" max="3" width="40" customWidth="1"/>
    <col min="4" max="4" width="18" customWidth="1"/>
    <col min="5" max="5" width="11" customWidth="1"/>
    <col min="6" max="7" width="12" customWidth="1"/>
    <col min="8" max="8" width="7" customWidth="1"/>
    <col min="9" max="9" width="10" customWidth="1"/>
    <col min="10" max="10" width="14" customWidth="1"/>
    <col min="11" max="11" width="12" customWidth="1"/>
    <col min="12" max="12" width="14" customWidth="1"/>
    <col min="13" max="13" width="11" customWidth="1"/>
    <col min="14" max="14" width="32" customWidth="1"/>
  </cols>
  <sheetData>
    <row r="1" spans="1:14" ht="25.5" customHeight="1" x14ac:dyDescent="0.3">
      <c r="A1" s="4" t="s">
        <v>118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" customHeight="1" x14ac:dyDescent="0.3">
      <c r="A2" s="3" t="s">
        <v>119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7.5" customHeight="1" x14ac:dyDescent="0.3"/>
    <row r="6" spans="1:14" ht="30" customHeight="1" x14ac:dyDescent="0.3">
      <c r="A6" s="22" t="s">
        <v>120</v>
      </c>
      <c r="B6" s="22" t="s">
        <v>74</v>
      </c>
      <c r="C6" s="22" t="s">
        <v>121</v>
      </c>
      <c r="D6" s="22" t="s">
        <v>122</v>
      </c>
      <c r="E6" s="22" t="s">
        <v>123</v>
      </c>
      <c r="F6" s="22" t="s">
        <v>124</v>
      </c>
      <c r="G6" s="22" t="s">
        <v>125</v>
      </c>
      <c r="H6" s="22" t="s">
        <v>126</v>
      </c>
      <c r="I6" s="22" t="s">
        <v>127</v>
      </c>
      <c r="J6" s="22" t="s">
        <v>71</v>
      </c>
      <c r="K6" s="22" t="s">
        <v>128</v>
      </c>
      <c r="L6" s="22" t="s">
        <v>129</v>
      </c>
      <c r="M6" s="22" t="s">
        <v>130</v>
      </c>
      <c r="N6" s="22" t="s">
        <v>131</v>
      </c>
    </row>
    <row r="7" spans="1:14" x14ac:dyDescent="0.3">
      <c r="A7" s="20">
        <f t="shared" ref="A7:A38" si="0">IF($C7="","",ROW()-6)</f>
        <v>1</v>
      </c>
      <c r="B7" s="17" t="s">
        <v>83</v>
      </c>
      <c r="C7" s="17" t="s">
        <v>132</v>
      </c>
      <c r="D7" s="17" t="s">
        <v>10</v>
      </c>
      <c r="E7" s="17" t="s">
        <v>133</v>
      </c>
      <c r="F7" s="30">
        <v>46234</v>
      </c>
      <c r="G7" s="30">
        <v>46244</v>
      </c>
      <c r="H7" s="20">
        <f t="shared" ref="H7:H38" si="1">IF(OR($C7="",$F7="",$G7=""),"",$G7-$F7+1)</f>
        <v>11</v>
      </c>
      <c r="I7" s="31">
        <v>0.6</v>
      </c>
      <c r="J7" s="17" t="s">
        <v>82</v>
      </c>
      <c r="K7" s="20">
        <f t="shared" ref="K7:K38" ca="1" si="2">IF(OR($C7="",$G7=""),"",IF(OR($J7="Completada",$J7="Cancelada"),"-",$G7-TODAY()))</f>
        <v>11</v>
      </c>
      <c r="L7" s="20" t="str">
        <f t="shared" ref="L7:L38" ca="1" si="3">IF($C7="","",IF($J7="Completada","Completada",IF($J7="Cancelada","Cancelada",IF($J7="Bloqueada","Bloqueada",IF($G7="","Sin fecha",IF($G7&lt;TODAY(),"Vencida",IF($G7-TODAY()&lt;=3,"Por vencer","En tiempo")))))))</f>
        <v>En tiempo</v>
      </c>
      <c r="M7" s="17"/>
      <c r="N7" s="17" t="s">
        <v>134</v>
      </c>
    </row>
    <row r="8" spans="1:14" x14ac:dyDescent="0.3">
      <c r="A8" s="26">
        <f t="shared" si="0"/>
        <v>2</v>
      </c>
      <c r="B8" s="17" t="s">
        <v>86</v>
      </c>
      <c r="C8" s="17" t="s">
        <v>135</v>
      </c>
      <c r="D8" s="17" t="s">
        <v>136</v>
      </c>
      <c r="E8" s="17" t="s">
        <v>133</v>
      </c>
      <c r="F8" s="30">
        <v>46245</v>
      </c>
      <c r="G8" s="30">
        <v>46259</v>
      </c>
      <c r="H8" s="26">
        <f t="shared" si="1"/>
        <v>15</v>
      </c>
      <c r="I8" s="31">
        <v>0</v>
      </c>
      <c r="J8" s="17" t="s">
        <v>79</v>
      </c>
      <c r="K8" s="26">
        <f t="shared" ca="1" si="2"/>
        <v>26</v>
      </c>
      <c r="L8" s="26" t="str">
        <f t="shared" ca="1" si="3"/>
        <v>En tiempo</v>
      </c>
      <c r="M8" s="17" t="s">
        <v>137</v>
      </c>
      <c r="N8" s="17" t="s">
        <v>138</v>
      </c>
    </row>
    <row r="9" spans="1:14" x14ac:dyDescent="0.3">
      <c r="A9" s="20" t="str">
        <f t="shared" si="0"/>
        <v/>
      </c>
      <c r="B9" s="17"/>
      <c r="C9" s="17"/>
      <c r="D9" s="17"/>
      <c r="E9" s="17"/>
      <c r="F9" s="30"/>
      <c r="G9" s="30"/>
      <c r="H9" s="20" t="str">
        <f t="shared" si="1"/>
        <v/>
      </c>
      <c r="I9" s="31"/>
      <c r="J9" s="17"/>
      <c r="K9" s="20" t="str">
        <f t="shared" ca="1" si="2"/>
        <v/>
      </c>
      <c r="L9" s="20" t="str">
        <f t="shared" ca="1" si="3"/>
        <v/>
      </c>
      <c r="M9" s="17"/>
      <c r="N9" s="17"/>
    </row>
    <row r="10" spans="1:14" x14ac:dyDescent="0.3">
      <c r="A10" s="26" t="str">
        <f t="shared" si="0"/>
        <v/>
      </c>
      <c r="B10" s="17"/>
      <c r="C10" s="17"/>
      <c r="D10" s="17"/>
      <c r="E10" s="17"/>
      <c r="F10" s="30"/>
      <c r="G10" s="30"/>
      <c r="H10" s="26" t="str">
        <f t="shared" si="1"/>
        <v/>
      </c>
      <c r="I10" s="31"/>
      <c r="J10" s="17"/>
      <c r="K10" s="26" t="str">
        <f t="shared" ca="1" si="2"/>
        <v/>
      </c>
      <c r="L10" s="26" t="str">
        <f t="shared" ca="1" si="3"/>
        <v/>
      </c>
      <c r="M10" s="17"/>
      <c r="N10" s="17"/>
    </row>
    <row r="11" spans="1:14" x14ac:dyDescent="0.3">
      <c r="A11" s="20" t="str">
        <f t="shared" si="0"/>
        <v/>
      </c>
      <c r="B11" s="17"/>
      <c r="C11" s="17"/>
      <c r="D11" s="17"/>
      <c r="E11" s="17"/>
      <c r="F11" s="30"/>
      <c r="G11" s="30"/>
      <c r="H11" s="20" t="str">
        <f t="shared" si="1"/>
        <v/>
      </c>
      <c r="I11" s="31"/>
      <c r="J11" s="17"/>
      <c r="K11" s="20" t="str">
        <f t="shared" ca="1" si="2"/>
        <v/>
      </c>
      <c r="L11" s="20" t="str">
        <f t="shared" ca="1" si="3"/>
        <v/>
      </c>
      <c r="M11" s="17"/>
      <c r="N11" s="17"/>
    </row>
    <row r="12" spans="1:14" x14ac:dyDescent="0.3">
      <c r="A12" s="26" t="str">
        <f t="shared" si="0"/>
        <v/>
      </c>
      <c r="B12" s="17"/>
      <c r="C12" s="17"/>
      <c r="D12" s="17"/>
      <c r="E12" s="17"/>
      <c r="F12" s="30"/>
      <c r="G12" s="30"/>
      <c r="H12" s="26" t="str">
        <f t="shared" si="1"/>
        <v/>
      </c>
      <c r="I12" s="31"/>
      <c r="J12" s="17"/>
      <c r="K12" s="26" t="str">
        <f t="shared" ca="1" si="2"/>
        <v/>
      </c>
      <c r="L12" s="26" t="str">
        <f t="shared" ca="1" si="3"/>
        <v/>
      </c>
      <c r="M12" s="17"/>
      <c r="N12" s="17"/>
    </row>
    <row r="13" spans="1:14" x14ac:dyDescent="0.3">
      <c r="A13" s="20" t="str">
        <f t="shared" si="0"/>
        <v/>
      </c>
      <c r="B13" s="17"/>
      <c r="C13" s="17"/>
      <c r="D13" s="17"/>
      <c r="E13" s="17"/>
      <c r="F13" s="30"/>
      <c r="G13" s="30"/>
      <c r="H13" s="20" t="str">
        <f t="shared" si="1"/>
        <v/>
      </c>
      <c r="I13" s="31"/>
      <c r="J13" s="17"/>
      <c r="K13" s="20" t="str">
        <f t="shared" ca="1" si="2"/>
        <v/>
      </c>
      <c r="L13" s="20" t="str">
        <f t="shared" ca="1" si="3"/>
        <v/>
      </c>
      <c r="M13" s="17"/>
      <c r="N13" s="17"/>
    </row>
    <row r="14" spans="1:14" x14ac:dyDescent="0.3">
      <c r="A14" s="26" t="str">
        <f t="shared" si="0"/>
        <v/>
      </c>
      <c r="B14" s="17"/>
      <c r="C14" s="17"/>
      <c r="D14" s="17"/>
      <c r="E14" s="17"/>
      <c r="F14" s="30"/>
      <c r="G14" s="30"/>
      <c r="H14" s="26" t="str">
        <f t="shared" si="1"/>
        <v/>
      </c>
      <c r="I14" s="31"/>
      <c r="J14" s="17"/>
      <c r="K14" s="26" t="str">
        <f t="shared" ca="1" si="2"/>
        <v/>
      </c>
      <c r="L14" s="26" t="str">
        <f t="shared" ca="1" si="3"/>
        <v/>
      </c>
      <c r="M14" s="17"/>
      <c r="N14" s="17"/>
    </row>
    <row r="15" spans="1:14" x14ac:dyDescent="0.3">
      <c r="A15" s="20" t="str">
        <f t="shared" si="0"/>
        <v/>
      </c>
      <c r="B15" s="17"/>
      <c r="C15" s="17"/>
      <c r="D15" s="17"/>
      <c r="E15" s="17"/>
      <c r="F15" s="30"/>
      <c r="G15" s="30"/>
      <c r="H15" s="20" t="str">
        <f t="shared" si="1"/>
        <v/>
      </c>
      <c r="I15" s="31"/>
      <c r="J15" s="17"/>
      <c r="K15" s="20" t="str">
        <f t="shared" ca="1" si="2"/>
        <v/>
      </c>
      <c r="L15" s="20" t="str">
        <f t="shared" ca="1" si="3"/>
        <v/>
      </c>
      <c r="M15" s="17"/>
      <c r="N15" s="17"/>
    </row>
    <row r="16" spans="1:14" x14ac:dyDescent="0.3">
      <c r="A16" s="26" t="str">
        <f t="shared" si="0"/>
        <v/>
      </c>
      <c r="B16" s="17"/>
      <c r="C16" s="17"/>
      <c r="D16" s="17"/>
      <c r="E16" s="17"/>
      <c r="F16" s="30"/>
      <c r="G16" s="30"/>
      <c r="H16" s="26" t="str">
        <f t="shared" si="1"/>
        <v/>
      </c>
      <c r="I16" s="31"/>
      <c r="J16" s="17"/>
      <c r="K16" s="26" t="str">
        <f t="shared" ca="1" si="2"/>
        <v/>
      </c>
      <c r="L16" s="26" t="str">
        <f t="shared" ca="1" si="3"/>
        <v/>
      </c>
      <c r="M16" s="17"/>
      <c r="N16" s="17"/>
    </row>
    <row r="17" spans="1:14" x14ac:dyDescent="0.3">
      <c r="A17" s="20" t="str">
        <f t="shared" si="0"/>
        <v/>
      </c>
      <c r="B17" s="17"/>
      <c r="C17" s="17"/>
      <c r="D17" s="17"/>
      <c r="E17" s="17"/>
      <c r="F17" s="30"/>
      <c r="G17" s="30"/>
      <c r="H17" s="20" t="str">
        <f t="shared" si="1"/>
        <v/>
      </c>
      <c r="I17" s="31"/>
      <c r="J17" s="17"/>
      <c r="K17" s="20" t="str">
        <f t="shared" ca="1" si="2"/>
        <v/>
      </c>
      <c r="L17" s="20" t="str">
        <f t="shared" ca="1" si="3"/>
        <v/>
      </c>
      <c r="M17" s="17"/>
      <c r="N17" s="17"/>
    </row>
    <row r="18" spans="1:14" x14ac:dyDescent="0.3">
      <c r="A18" s="26" t="str">
        <f t="shared" si="0"/>
        <v/>
      </c>
      <c r="B18" s="17"/>
      <c r="C18" s="17"/>
      <c r="D18" s="17"/>
      <c r="E18" s="17"/>
      <c r="F18" s="30"/>
      <c r="G18" s="30"/>
      <c r="H18" s="26" t="str">
        <f t="shared" si="1"/>
        <v/>
      </c>
      <c r="I18" s="31"/>
      <c r="J18" s="17"/>
      <c r="K18" s="26" t="str">
        <f t="shared" ca="1" si="2"/>
        <v/>
      </c>
      <c r="L18" s="26" t="str">
        <f t="shared" ca="1" si="3"/>
        <v/>
      </c>
      <c r="M18" s="17"/>
      <c r="N18" s="17"/>
    </row>
    <row r="19" spans="1:14" x14ac:dyDescent="0.3">
      <c r="A19" s="20" t="str">
        <f t="shared" si="0"/>
        <v/>
      </c>
      <c r="B19" s="17"/>
      <c r="C19" s="17"/>
      <c r="D19" s="17"/>
      <c r="E19" s="17"/>
      <c r="F19" s="30"/>
      <c r="G19" s="30"/>
      <c r="H19" s="20" t="str">
        <f t="shared" si="1"/>
        <v/>
      </c>
      <c r="I19" s="31"/>
      <c r="J19" s="17"/>
      <c r="K19" s="20" t="str">
        <f t="shared" ca="1" si="2"/>
        <v/>
      </c>
      <c r="L19" s="20" t="str">
        <f t="shared" ca="1" si="3"/>
        <v/>
      </c>
      <c r="M19" s="17"/>
      <c r="N19" s="17"/>
    </row>
    <row r="20" spans="1:14" x14ac:dyDescent="0.3">
      <c r="A20" s="26" t="str">
        <f t="shared" si="0"/>
        <v/>
      </c>
      <c r="B20" s="17"/>
      <c r="C20" s="17"/>
      <c r="D20" s="17"/>
      <c r="E20" s="17"/>
      <c r="F20" s="30"/>
      <c r="G20" s="30"/>
      <c r="H20" s="26" t="str">
        <f t="shared" si="1"/>
        <v/>
      </c>
      <c r="I20" s="31"/>
      <c r="J20" s="17"/>
      <c r="K20" s="26" t="str">
        <f t="shared" ca="1" si="2"/>
        <v/>
      </c>
      <c r="L20" s="26" t="str">
        <f t="shared" ca="1" si="3"/>
        <v/>
      </c>
      <c r="M20" s="17"/>
      <c r="N20" s="17"/>
    </row>
    <row r="21" spans="1:14" x14ac:dyDescent="0.3">
      <c r="A21" s="20" t="str">
        <f t="shared" si="0"/>
        <v/>
      </c>
      <c r="B21" s="17"/>
      <c r="C21" s="17"/>
      <c r="D21" s="17"/>
      <c r="E21" s="17"/>
      <c r="F21" s="30"/>
      <c r="G21" s="30"/>
      <c r="H21" s="20" t="str">
        <f t="shared" si="1"/>
        <v/>
      </c>
      <c r="I21" s="31"/>
      <c r="J21" s="17"/>
      <c r="K21" s="20" t="str">
        <f t="shared" ca="1" si="2"/>
        <v/>
      </c>
      <c r="L21" s="20" t="str">
        <f t="shared" ca="1" si="3"/>
        <v/>
      </c>
      <c r="M21" s="17"/>
      <c r="N21" s="17"/>
    </row>
    <row r="22" spans="1:14" x14ac:dyDescent="0.3">
      <c r="A22" s="26" t="str">
        <f t="shared" si="0"/>
        <v/>
      </c>
      <c r="B22" s="17"/>
      <c r="C22" s="17"/>
      <c r="D22" s="17"/>
      <c r="E22" s="17"/>
      <c r="F22" s="30"/>
      <c r="G22" s="30"/>
      <c r="H22" s="26" t="str">
        <f t="shared" si="1"/>
        <v/>
      </c>
      <c r="I22" s="31"/>
      <c r="J22" s="17"/>
      <c r="K22" s="26" t="str">
        <f t="shared" ca="1" si="2"/>
        <v/>
      </c>
      <c r="L22" s="26" t="str">
        <f t="shared" ca="1" si="3"/>
        <v/>
      </c>
      <c r="M22" s="17"/>
      <c r="N22" s="17"/>
    </row>
    <row r="23" spans="1:14" x14ac:dyDescent="0.3">
      <c r="A23" s="20" t="str">
        <f t="shared" si="0"/>
        <v/>
      </c>
      <c r="B23" s="17"/>
      <c r="C23" s="17"/>
      <c r="D23" s="17"/>
      <c r="E23" s="17"/>
      <c r="F23" s="30"/>
      <c r="G23" s="30"/>
      <c r="H23" s="20" t="str">
        <f t="shared" si="1"/>
        <v/>
      </c>
      <c r="I23" s="31"/>
      <c r="J23" s="17"/>
      <c r="K23" s="20" t="str">
        <f t="shared" ca="1" si="2"/>
        <v/>
      </c>
      <c r="L23" s="20" t="str">
        <f t="shared" ca="1" si="3"/>
        <v/>
      </c>
      <c r="M23" s="17"/>
      <c r="N23" s="17"/>
    </row>
    <row r="24" spans="1:14" x14ac:dyDescent="0.3">
      <c r="A24" s="26" t="str">
        <f t="shared" si="0"/>
        <v/>
      </c>
      <c r="B24" s="17"/>
      <c r="C24" s="17"/>
      <c r="D24" s="17"/>
      <c r="E24" s="17"/>
      <c r="F24" s="30"/>
      <c r="G24" s="30"/>
      <c r="H24" s="26" t="str">
        <f t="shared" si="1"/>
        <v/>
      </c>
      <c r="I24" s="31"/>
      <c r="J24" s="17"/>
      <c r="K24" s="26" t="str">
        <f t="shared" ca="1" si="2"/>
        <v/>
      </c>
      <c r="L24" s="26" t="str">
        <f t="shared" ca="1" si="3"/>
        <v/>
      </c>
      <c r="M24" s="17"/>
      <c r="N24" s="17"/>
    </row>
    <row r="25" spans="1:14" x14ac:dyDescent="0.3">
      <c r="A25" s="20" t="str">
        <f t="shared" si="0"/>
        <v/>
      </c>
      <c r="B25" s="17"/>
      <c r="C25" s="17"/>
      <c r="D25" s="17"/>
      <c r="E25" s="17"/>
      <c r="F25" s="30"/>
      <c r="G25" s="30"/>
      <c r="H25" s="20" t="str">
        <f t="shared" si="1"/>
        <v/>
      </c>
      <c r="I25" s="31"/>
      <c r="J25" s="17"/>
      <c r="K25" s="20" t="str">
        <f t="shared" ca="1" si="2"/>
        <v/>
      </c>
      <c r="L25" s="20" t="str">
        <f t="shared" ca="1" si="3"/>
        <v/>
      </c>
      <c r="M25" s="17"/>
      <c r="N25" s="17"/>
    </row>
    <row r="26" spans="1:14" x14ac:dyDescent="0.3">
      <c r="A26" s="26" t="str">
        <f t="shared" si="0"/>
        <v/>
      </c>
      <c r="B26" s="17"/>
      <c r="C26" s="17"/>
      <c r="D26" s="17"/>
      <c r="E26" s="17"/>
      <c r="F26" s="30"/>
      <c r="G26" s="30"/>
      <c r="H26" s="26" t="str">
        <f t="shared" si="1"/>
        <v/>
      </c>
      <c r="I26" s="31"/>
      <c r="J26" s="17"/>
      <c r="K26" s="26" t="str">
        <f t="shared" ca="1" si="2"/>
        <v/>
      </c>
      <c r="L26" s="26" t="str">
        <f t="shared" ca="1" si="3"/>
        <v/>
      </c>
      <c r="M26" s="17"/>
      <c r="N26" s="17"/>
    </row>
    <row r="27" spans="1:14" x14ac:dyDescent="0.3">
      <c r="A27" s="20" t="str">
        <f t="shared" si="0"/>
        <v/>
      </c>
      <c r="B27" s="17"/>
      <c r="C27" s="17"/>
      <c r="D27" s="17"/>
      <c r="E27" s="17"/>
      <c r="F27" s="30"/>
      <c r="G27" s="30"/>
      <c r="H27" s="20" t="str">
        <f t="shared" si="1"/>
        <v/>
      </c>
      <c r="I27" s="31"/>
      <c r="J27" s="17"/>
      <c r="K27" s="20" t="str">
        <f t="shared" ca="1" si="2"/>
        <v/>
      </c>
      <c r="L27" s="20" t="str">
        <f t="shared" ca="1" si="3"/>
        <v/>
      </c>
      <c r="M27" s="17"/>
      <c r="N27" s="17"/>
    </row>
    <row r="28" spans="1:14" x14ac:dyDescent="0.3">
      <c r="A28" s="26" t="str">
        <f t="shared" si="0"/>
        <v/>
      </c>
      <c r="B28" s="17"/>
      <c r="C28" s="17"/>
      <c r="D28" s="17"/>
      <c r="E28" s="17"/>
      <c r="F28" s="30"/>
      <c r="G28" s="30"/>
      <c r="H28" s="26" t="str">
        <f t="shared" si="1"/>
        <v/>
      </c>
      <c r="I28" s="31"/>
      <c r="J28" s="17"/>
      <c r="K28" s="26" t="str">
        <f t="shared" ca="1" si="2"/>
        <v/>
      </c>
      <c r="L28" s="26" t="str">
        <f t="shared" ca="1" si="3"/>
        <v/>
      </c>
      <c r="M28" s="17"/>
      <c r="N28" s="17"/>
    </row>
    <row r="29" spans="1:14" x14ac:dyDescent="0.3">
      <c r="A29" s="20" t="str">
        <f t="shared" si="0"/>
        <v/>
      </c>
      <c r="B29" s="17"/>
      <c r="C29" s="17"/>
      <c r="D29" s="17"/>
      <c r="E29" s="17"/>
      <c r="F29" s="30"/>
      <c r="G29" s="30"/>
      <c r="H29" s="20" t="str">
        <f t="shared" si="1"/>
        <v/>
      </c>
      <c r="I29" s="31"/>
      <c r="J29" s="17"/>
      <c r="K29" s="20" t="str">
        <f t="shared" ca="1" si="2"/>
        <v/>
      </c>
      <c r="L29" s="20" t="str">
        <f t="shared" ca="1" si="3"/>
        <v/>
      </c>
      <c r="M29" s="17"/>
      <c r="N29" s="17"/>
    </row>
    <row r="30" spans="1:14" x14ac:dyDescent="0.3">
      <c r="A30" s="26" t="str">
        <f t="shared" si="0"/>
        <v/>
      </c>
      <c r="B30" s="17"/>
      <c r="C30" s="17"/>
      <c r="D30" s="17"/>
      <c r="E30" s="17"/>
      <c r="F30" s="30"/>
      <c r="G30" s="30"/>
      <c r="H30" s="26" t="str">
        <f t="shared" si="1"/>
        <v/>
      </c>
      <c r="I30" s="31"/>
      <c r="J30" s="17"/>
      <c r="K30" s="26" t="str">
        <f t="shared" ca="1" si="2"/>
        <v/>
      </c>
      <c r="L30" s="26" t="str">
        <f t="shared" ca="1" si="3"/>
        <v/>
      </c>
      <c r="M30" s="17"/>
      <c r="N30" s="17"/>
    </row>
    <row r="31" spans="1:14" x14ac:dyDescent="0.3">
      <c r="A31" s="20" t="str">
        <f t="shared" si="0"/>
        <v/>
      </c>
      <c r="B31" s="17"/>
      <c r="C31" s="17"/>
      <c r="D31" s="17"/>
      <c r="E31" s="17"/>
      <c r="F31" s="30"/>
      <c r="G31" s="30"/>
      <c r="H31" s="20" t="str">
        <f t="shared" si="1"/>
        <v/>
      </c>
      <c r="I31" s="31"/>
      <c r="J31" s="17"/>
      <c r="K31" s="20" t="str">
        <f t="shared" ca="1" si="2"/>
        <v/>
      </c>
      <c r="L31" s="20" t="str">
        <f t="shared" ca="1" si="3"/>
        <v/>
      </c>
      <c r="M31" s="17"/>
      <c r="N31" s="17"/>
    </row>
    <row r="32" spans="1:14" x14ac:dyDescent="0.3">
      <c r="A32" s="26" t="str">
        <f t="shared" si="0"/>
        <v/>
      </c>
      <c r="B32" s="17"/>
      <c r="C32" s="17"/>
      <c r="D32" s="17"/>
      <c r="E32" s="17"/>
      <c r="F32" s="30"/>
      <c r="G32" s="30"/>
      <c r="H32" s="26" t="str">
        <f t="shared" si="1"/>
        <v/>
      </c>
      <c r="I32" s="31"/>
      <c r="J32" s="17"/>
      <c r="K32" s="26" t="str">
        <f t="shared" ca="1" si="2"/>
        <v/>
      </c>
      <c r="L32" s="26" t="str">
        <f t="shared" ca="1" si="3"/>
        <v/>
      </c>
      <c r="M32" s="17"/>
      <c r="N32" s="17"/>
    </row>
    <row r="33" spans="1:14" x14ac:dyDescent="0.3">
      <c r="A33" s="20" t="str">
        <f t="shared" si="0"/>
        <v/>
      </c>
      <c r="B33" s="17"/>
      <c r="C33" s="17"/>
      <c r="D33" s="17"/>
      <c r="E33" s="17"/>
      <c r="F33" s="30"/>
      <c r="G33" s="30"/>
      <c r="H33" s="20" t="str">
        <f t="shared" si="1"/>
        <v/>
      </c>
      <c r="I33" s="31"/>
      <c r="J33" s="17"/>
      <c r="K33" s="20" t="str">
        <f t="shared" ca="1" si="2"/>
        <v/>
      </c>
      <c r="L33" s="20" t="str">
        <f t="shared" ca="1" si="3"/>
        <v/>
      </c>
      <c r="M33" s="17"/>
      <c r="N33" s="17"/>
    </row>
    <row r="34" spans="1:14" x14ac:dyDescent="0.3">
      <c r="A34" s="26" t="str">
        <f t="shared" si="0"/>
        <v/>
      </c>
      <c r="B34" s="17"/>
      <c r="C34" s="17"/>
      <c r="D34" s="17"/>
      <c r="E34" s="17"/>
      <c r="F34" s="30"/>
      <c r="G34" s="30"/>
      <c r="H34" s="26" t="str">
        <f t="shared" si="1"/>
        <v/>
      </c>
      <c r="I34" s="31"/>
      <c r="J34" s="17"/>
      <c r="K34" s="26" t="str">
        <f t="shared" ca="1" si="2"/>
        <v/>
      </c>
      <c r="L34" s="26" t="str">
        <f t="shared" ca="1" si="3"/>
        <v/>
      </c>
      <c r="M34" s="17"/>
      <c r="N34" s="17"/>
    </row>
    <row r="35" spans="1:14" x14ac:dyDescent="0.3">
      <c r="A35" s="20" t="str">
        <f t="shared" si="0"/>
        <v/>
      </c>
      <c r="B35" s="17"/>
      <c r="C35" s="17"/>
      <c r="D35" s="17"/>
      <c r="E35" s="17"/>
      <c r="F35" s="30"/>
      <c r="G35" s="30"/>
      <c r="H35" s="20" t="str">
        <f t="shared" si="1"/>
        <v/>
      </c>
      <c r="I35" s="31"/>
      <c r="J35" s="17"/>
      <c r="K35" s="20" t="str">
        <f t="shared" ca="1" si="2"/>
        <v/>
      </c>
      <c r="L35" s="20" t="str">
        <f t="shared" ca="1" si="3"/>
        <v/>
      </c>
      <c r="M35" s="17"/>
      <c r="N35" s="17"/>
    </row>
    <row r="36" spans="1:14" x14ac:dyDescent="0.3">
      <c r="A36" s="26" t="str">
        <f t="shared" si="0"/>
        <v/>
      </c>
      <c r="B36" s="17"/>
      <c r="C36" s="17"/>
      <c r="D36" s="17"/>
      <c r="E36" s="17"/>
      <c r="F36" s="30"/>
      <c r="G36" s="30"/>
      <c r="H36" s="26" t="str">
        <f t="shared" si="1"/>
        <v/>
      </c>
      <c r="I36" s="31"/>
      <c r="J36" s="17"/>
      <c r="K36" s="26" t="str">
        <f t="shared" ca="1" si="2"/>
        <v/>
      </c>
      <c r="L36" s="26" t="str">
        <f t="shared" ca="1" si="3"/>
        <v/>
      </c>
      <c r="M36" s="17"/>
      <c r="N36" s="17"/>
    </row>
    <row r="37" spans="1:14" x14ac:dyDescent="0.3">
      <c r="A37" s="20" t="str">
        <f t="shared" si="0"/>
        <v/>
      </c>
      <c r="B37" s="17"/>
      <c r="C37" s="17"/>
      <c r="D37" s="17"/>
      <c r="E37" s="17"/>
      <c r="F37" s="30"/>
      <c r="G37" s="30"/>
      <c r="H37" s="20" t="str">
        <f t="shared" si="1"/>
        <v/>
      </c>
      <c r="I37" s="31"/>
      <c r="J37" s="17"/>
      <c r="K37" s="20" t="str">
        <f t="shared" ca="1" si="2"/>
        <v/>
      </c>
      <c r="L37" s="20" t="str">
        <f t="shared" ca="1" si="3"/>
        <v/>
      </c>
      <c r="M37" s="17"/>
      <c r="N37" s="17"/>
    </row>
    <row r="38" spans="1:14" x14ac:dyDescent="0.3">
      <c r="A38" s="26" t="str">
        <f t="shared" si="0"/>
        <v/>
      </c>
      <c r="B38" s="17"/>
      <c r="C38" s="17"/>
      <c r="D38" s="17"/>
      <c r="E38" s="17"/>
      <c r="F38" s="30"/>
      <c r="G38" s="30"/>
      <c r="H38" s="26" t="str">
        <f t="shared" si="1"/>
        <v/>
      </c>
      <c r="I38" s="31"/>
      <c r="J38" s="17"/>
      <c r="K38" s="26" t="str">
        <f t="shared" ca="1" si="2"/>
        <v/>
      </c>
      <c r="L38" s="26" t="str">
        <f t="shared" ca="1" si="3"/>
        <v/>
      </c>
      <c r="M38" s="17"/>
      <c r="N38" s="17"/>
    </row>
    <row r="39" spans="1:14" x14ac:dyDescent="0.3">
      <c r="A39" s="20" t="str">
        <f t="shared" ref="A39:A70" si="4">IF($C39="","",ROW()-6)</f>
        <v/>
      </c>
      <c r="B39" s="17"/>
      <c r="C39" s="17"/>
      <c r="D39" s="17"/>
      <c r="E39" s="17"/>
      <c r="F39" s="30"/>
      <c r="G39" s="30"/>
      <c r="H39" s="20" t="str">
        <f t="shared" ref="H39:H70" si="5">IF(OR($C39="",$F39="",$G39=""),"",$G39-$F39+1)</f>
        <v/>
      </c>
      <c r="I39" s="31"/>
      <c r="J39" s="17"/>
      <c r="K39" s="20" t="str">
        <f t="shared" ref="K39:K70" ca="1" si="6">IF(OR($C39="",$G39=""),"",IF(OR($J39="Completada",$J39="Cancelada"),"-",$G39-TODAY()))</f>
        <v/>
      </c>
      <c r="L39" s="20" t="str">
        <f t="shared" ref="L39:L70" ca="1" si="7">IF($C39="","",IF($J39="Completada","Completada",IF($J39="Cancelada","Cancelada",IF($J39="Bloqueada","Bloqueada",IF($G39="","Sin fecha",IF($G39&lt;TODAY(),"Vencida",IF($G39-TODAY()&lt;=3,"Por vencer","En tiempo")))))))</f>
        <v/>
      </c>
      <c r="M39" s="17"/>
      <c r="N39" s="17"/>
    </row>
    <row r="40" spans="1:14" x14ac:dyDescent="0.3">
      <c r="A40" s="26" t="str">
        <f t="shared" si="4"/>
        <v/>
      </c>
      <c r="B40" s="17"/>
      <c r="C40" s="17"/>
      <c r="D40" s="17"/>
      <c r="E40" s="17"/>
      <c r="F40" s="30"/>
      <c r="G40" s="30"/>
      <c r="H40" s="26" t="str">
        <f t="shared" si="5"/>
        <v/>
      </c>
      <c r="I40" s="31"/>
      <c r="J40" s="17"/>
      <c r="K40" s="26" t="str">
        <f t="shared" ca="1" si="6"/>
        <v/>
      </c>
      <c r="L40" s="26" t="str">
        <f t="shared" ca="1" si="7"/>
        <v/>
      </c>
      <c r="M40" s="17"/>
      <c r="N40" s="17"/>
    </row>
    <row r="41" spans="1:14" x14ac:dyDescent="0.3">
      <c r="A41" s="20" t="str">
        <f t="shared" si="4"/>
        <v/>
      </c>
      <c r="B41" s="17"/>
      <c r="C41" s="17"/>
      <c r="D41" s="17"/>
      <c r="E41" s="17"/>
      <c r="F41" s="30"/>
      <c r="G41" s="30"/>
      <c r="H41" s="20" t="str">
        <f t="shared" si="5"/>
        <v/>
      </c>
      <c r="I41" s="31"/>
      <c r="J41" s="17"/>
      <c r="K41" s="20" t="str">
        <f t="shared" ca="1" si="6"/>
        <v/>
      </c>
      <c r="L41" s="20" t="str">
        <f t="shared" ca="1" si="7"/>
        <v/>
      </c>
      <c r="M41" s="17"/>
      <c r="N41" s="17"/>
    </row>
    <row r="42" spans="1:14" x14ac:dyDescent="0.3">
      <c r="A42" s="26" t="str">
        <f t="shared" si="4"/>
        <v/>
      </c>
      <c r="B42" s="17"/>
      <c r="C42" s="17"/>
      <c r="D42" s="17"/>
      <c r="E42" s="17"/>
      <c r="F42" s="30"/>
      <c r="G42" s="30"/>
      <c r="H42" s="26" t="str">
        <f t="shared" si="5"/>
        <v/>
      </c>
      <c r="I42" s="31"/>
      <c r="J42" s="17"/>
      <c r="K42" s="26" t="str">
        <f t="shared" ca="1" si="6"/>
        <v/>
      </c>
      <c r="L42" s="26" t="str">
        <f t="shared" ca="1" si="7"/>
        <v/>
      </c>
      <c r="M42" s="17"/>
      <c r="N42" s="17"/>
    </row>
    <row r="43" spans="1:14" x14ac:dyDescent="0.3">
      <c r="A43" s="20" t="str">
        <f t="shared" si="4"/>
        <v/>
      </c>
      <c r="B43" s="17"/>
      <c r="C43" s="17"/>
      <c r="D43" s="17"/>
      <c r="E43" s="17"/>
      <c r="F43" s="30"/>
      <c r="G43" s="30"/>
      <c r="H43" s="20" t="str">
        <f t="shared" si="5"/>
        <v/>
      </c>
      <c r="I43" s="31"/>
      <c r="J43" s="17"/>
      <c r="K43" s="20" t="str">
        <f t="shared" ca="1" si="6"/>
        <v/>
      </c>
      <c r="L43" s="20" t="str">
        <f t="shared" ca="1" si="7"/>
        <v/>
      </c>
      <c r="M43" s="17"/>
      <c r="N43" s="17"/>
    </row>
    <row r="44" spans="1:14" x14ac:dyDescent="0.3">
      <c r="A44" s="26" t="str">
        <f t="shared" si="4"/>
        <v/>
      </c>
      <c r="B44" s="17"/>
      <c r="C44" s="17"/>
      <c r="D44" s="17"/>
      <c r="E44" s="17"/>
      <c r="F44" s="30"/>
      <c r="G44" s="30"/>
      <c r="H44" s="26" t="str">
        <f t="shared" si="5"/>
        <v/>
      </c>
      <c r="I44" s="31"/>
      <c r="J44" s="17"/>
      <c r="K44" s="26" t="str">
        <f t="shared" ca="1" si="6"/>
        <v/>
      </c>
      <c r="L44" s="26" t="str">
        <f t="shared" ca="1" si="7"/>
        <v/>
      </c>
      <c r="M44" s="17"/>
      <c r="N44" s="17"/>
    </row>
    <row r="45" spans="1:14" x14ac:dyDescent="0.3">
      <c r="A45" s="20" t="str">
        <f t="shared" si="4"/>
        <v/>
      </c>
      <c r="B45" s="17"/>
      <c r="C45" s="17"/>
      <c r="D45" s="17"/>
      <c r="E45" s="17"/>
      <c r="F45" s="30"/>
      <c r="G45" s="30"/>
      <c r="H45" s="20" t="str">
        <f t="shared" si="5"/>
        <v/>
      </c>
      <c r="I45" s="31"/>
      <c r="J45" s="17"/>
      <c r="K45" s="20" t="str">
        <f t="shared" ca="1" si="6"/>
        <v/>
      </c>
      <c r="L45" s="20" t="str">
        <f t="shared" ca="1" si="7"/>
        <v/>
      </c>
      <c r="M45" s="17"/>
      <c r="N45" s="17"/>
    </row>
    <row r="46" spans="1:14" x14ac:dyDescent="0.3">
      <c r="A46" s="26" t="str">
        <f t="shared" si="4"/>
        <v/>
      </c>
      <c r="B46" s="17"/>
      <c r="C46" s="17"/>
      <c r="D46" s="17"/>
      <c r="E46" s="17"/>
      <c r="F46" s="30"/>
      <c r="G46" s="30"/>
      <c r="H46" s="26" t="str">
        <f t="shared" si="5"/>
        <v/>
      </c>
      <c r="I46" s="31"/>
      <c r="J46" s="17"/>
      <c r="K46" s="26" t="str">
        <f t="shared" ca="1" si="6"/>
        <v/>
      </c>
      <c r="L46" s="26" t="str">
        <f t="shared" ca="1" si="7"/>
        <v/>
      </c>
      <c r="M46" s="17"/>
      <c r="N46" s="17"/>
    </row>
    <row r="47" spans="1:14" x14ac:dyDescent="0.3">
      <c r="A47" s="20" t="str">
        <f t="shared" si="4"/>
        <v/>
      </c>
      <c r="B47" s="17"/>
      <c r="C47" s="17"/>
      <c r="D47" s="17"/>
      <c r="E47" s="17"/>
      <c r="F47" s="30"/>
      <c r="G47" s="30"/>
      <c r="H47" s="20" t="str">
        <f t="shared" si="5"/>
        <v/>
      </c>
      <c r="I47" s="31"/>
      <c r="J47" s="17"/>
      <c r="K47" s="20" t="str">
        <f t="shared" ca="1" si="6"/>
        <v/>
      </c>
      <c r="L47" s="20" t="str">
        <f t="shared" ca="1" si="7"/>
        <v/>
      </c>
      <c r="M47" s="17"/>
      <c r="N47" s="17"/>
    </row>
    <row r="48" spans="1:14" x14ac:dyDescent="0.3">
      <c r="A48" s="26" t="str">
        <f t="shared" si="4"/>
        <v/>
      </c>
      <c r="B48" s="17"/>
      <c r="C48" s="17"/>
      <c r="D48" s="17"/>
      <c r="E48" s="17"/>
      <c r="F48" s="30"/>
      <c r="G48" s="30"/>
      <c r="H48" s="26" t="str">
        <f t="shared" si="5"/>
        <v/>
      </c>
      <c r="I48" s="31"/>
      <c r="J48" s="17"/>
      <c r="K48" s="26" t="str">
        <f t="shared" ca="1" si="6"/>
        <v/>
      </c>
      <c r="L48" s="26" t="str">
        <f t="shared" ca="1" si="7"/>
        <v/>
      </c>
      <c r="M48" s="17"/>
      <c r="N48" s="17"/>
    </row>
    <row r="49" spans="1:14" x14ac:dyDescent="0.3">
      <c r="A49" s="20" t="str">
        <f t="shared" si="4"/>
        <v/>
      </c>
      <c r="B49" s="17"/>
      <c r="C49" s="17"/>
      <c r="D49" s="17"/>
      <c r="E49" s="17"/>
      <c r="F49" s="30"/>
      <c r="G49" s="30"/>
      <c r="H49" s="20" t="str">
        <f t="shared" si="5"/>
        <v/>
      </c>
      <c r="I49" s="31"/>
      <c r="J49" s="17"/>
      <c r="K49" s="20" t="str">
        <f t="shared" ca="1" si="6"/>
        <v/>
      </c>
      <c r="L49" s="20" t="str">
        <f t="shared" ca="1" si="7"/>
        <v/>
      </c>
      <c r="M49" s="17"/>
      <c r="N49" s="17"/>
    </row>
    <row r="50" spans="1:14" x14ac:dyDescent="0.3">
      <c r="A50" s="26" t="str">
        <f t="shared" si="4"/>
        <v/>
      </c>
      <c r="B50" s="17"/>
      <c r="C50" s="17"/>
      <c r="D50" s="17"/>
      <c r="E50" s="17"/>
      <c r="F50" s="30"/>
      <c r="G50" s="30"/>
      <c r="H50" s="26" t="str">
        <f t="shared" si="5"/>
        <v/>
      </c>
      <c r="I50" s="31"/>
      <c r="J50" s="17"/>
      <c r="K50" s="26" t="str">
        <f t="shared" ca="1" si="6"/>
        <v/>
      </c>
      <c r="L50" s="26" t="str">
        <f t="shared" ca="1" si="7"/>
        <v/>
      </c>
      <c r="M50" s="17"/>
      <c r="N50" s="17"/>
    </row>
    <row r="51" spans="1:14" x14ac:dyDescent="0.3">
      <c r="A51" s="20" t="str">
        <f t="shared" si="4"/>
        <v/>
      </c>
      <c r="B51" s="17"/>
      <c r="C51" s="17"/>
      <c r="D51" s="17"/>
      <c r="E51" s="17"/>
      <c r="F51" s="30"/>
      <c r="G51" s="30"/>
      <c r="H51" s="20" t="str">
        <f t="shared" si="5"/>
        <v/>
      </c>
      <c r="I51" s="31"/>
      <c r="J51" s="17"/>
      <c r="K51" s="20" t="str">
        <f t="shared" ca="1" si="6"/>
        <v/>
      </c>
      <c r="L51" s="20" t="str">
        <f t="shared" ca="1" si="7"/>
        <v/>
      </c>
      <c r="M51" s="17"/>
      <c r="N51" s="17"/>
    </row>
    <row r="52" spans="1:14" x14ac:dyDescent="0.3">
      <c r="A52" s="26" t="str">
        <f t="shared" si="4"/>
        <v/>
      </c>
      <c r="B52" s="17"/>
      <c r="C52" s="17"/>
      <c r="D52" s="17"/>
      <c r="E52" s="17"/>
      <c r="F52" s="30"/>
      <c r="G52" s="30"/>
      <c r="H52" s="26" t="str">
        <f t="shared" si="5"/>
        <v/>
      </c>
      <c r="I52" s="31"/>
      <c r="J52" s="17"/>
      <c r="K52" s="26" t="str">
        <f t="shared" ca="1" si="6"/>
        <v/>
      </c>
      <c r="L52" s="26" t="str">
        <f t="shared" ca="1" si="7"/>
        <v/>
      </c>
      <c r="M52" s="17"/>
      <c r="N52" s="17"/>
    </row>
    <row r="53" spans="1:14" x14ac:dyDescent="0.3">
      <c r="A53" s="20" t="str">
        <f t="shared" si="4"/>
        <v/>
      </c>
      <c r="B53" s="17"/>
      <c r="C53" s="17"/>
      <c r="D53" s="17"/>
      <c r="E53" s="17"/>
      <c r="F53" s="30"/>
      <c r="G53" s="30"/>
      <c r="H53" s="20" t="str">
        <f t="shared" si="5"/>
        <v/>
      </c>
      <c r="I53" s="31"/>
      <c r="J53" s="17"/>
      <c r="K53" s="20" t="str">
        <f t="shared" ca="1" si="6"/>
        <v/>
      </c>
      <c r="L53" s="20" t="str">
        <f t="shared" ca="1" si="7"/>
        <v/>
      </c>
      <c r="M53" s="17"/>
      <c r="N53" s="17"/>
    </row>
    <row r="54" spans="1:14" x14ac:dyDescent="0.3">
      <c r="A54" s="26" t="str">
        <f t="shared" si="4"/>
        <v/>
      </c>
      <c r="B54" s="17"/>
      <c r="C54" s="17"/>
      <c r="D54" s="17"/>
      <c r="E54" s="17"/>
      <c r="F54" s="30"/>
      <c r="G54" s="30"/>
      <c r="H54" s="26" t="str">
        <f t="shared" si="5"/>
        <v/>
      </c>
      <c r="I54" s="31"/>
      <c r="J54" s="17"/>
      <c r="K54" s="26" t="str">
        <f t="shared" ca="1" si="6"/>
        <v/>
      </c>
      <c r="L54" s="26" t="str">
        <f t="shared" ca="1" si="7"/>
        <v/>
      </c>
      <c r="M54" s="17"/>
      <c r="N54" s="17"/>
    </row>
    <row r="55" spans="1:14" x14ac:dyDescent="0.3">
      <c r="A55" s="20" t="str">
        <f t="shared" si="4"/>
        <v/>
      </c>
      <c r="B55" s="17"/>
      <c r="C55" s="17"/>
      <c r="D55" s="17"/>
      <c r="E55" s="17"/>
      <c r="F55" s="30"/>
      <c r="G55" s="30"/>
      <c r="H55" s="20" t="str">
        <f t="shared" si="5"/>
        <v/>
      </c>
      <c r="I55" s="31"/>
      <c r="J55" s="17"/>
      <c r="K55" s="20" t="str">
        <f t="shared" ca="1" si="6"/>
        <v/>
      </c>
      <c r="L55" s="20" t="str">
        <f t="shared" ca="1" si="7"/>
        <v/>
      </c>
      <c r="M55" s="17"/>
      <c r="N55" s="17"/>
    </row>
    <row r="56" spans="1:14" x14ac:dyDescent="0.3">
      <c r="A56" s="26" t="str">
        <f t="shared" si="4"/>
        <v/>
      </c>
      <c r="B56" s="17"/>
      <c r="C56" s="17"/>
      <c r="D56" s="17"/>
      <c r="E56" s="17"/>
      <c r="F56" s="30"/>
      <c r="G56" s="30"/>
      <c r="H56" s="26" t="str">
        <f t="shared" si="5"/>
        <v/>
      </c>
      <c r="I56" s="31"/>
      <c r="J56" s="17"/>
      <c r="K56" s="26" t="str">
        <f t="shared" ca="1" si="6"/>
        <v/>
      </c>
      <c r="L56" s="26" t="str">
        <f t="shared" ca="1" si="7"/>
        <v/>
      </c>
      <c r="M56" s="17"/>
      <c r="N56" s="17"/>
    </row>
    <row r="57" spans="1:14" x14ac:dyDescent="0.3">
      <c r="A57" s="20" t="str">
        <f t="shared" si="4"/>
        <v/>
      </c>
      <c r="B57" s="17"/>
      <c r="C57" s="17"/>
      <c r="D57" s="17"/>
      <c r="E57" s="17"/>
      <c r="F57" s="30"/>
      <c r="G57" s="30"/>
      <c r="H57" s="20" t="str">
        <f t="shared" si="5"/>
        <v/>
      </c>
      <c r="I57" s="31"/>
      <c r="J57" s="17"/>
      <c r="K57" s="20" t="str">
        <f t="shared" ca="1" si="6"/>
        <v/>
      </c>
      <c r="L57" s="20" t="str">
        <f t="shared" ca="1" si="7"/>
        <v/>
      </c>
      <c r="M57" s="17"/>
      <c r="N57" s="17"/>
    </row>
    <row r="58" spans="1:14" x14ac:dyDescent="0.3">
      <c r="A58" s="26" t="str">
        <f t="shared" si="4"/>
        <v/>
      </c>
      <c r="B58" s="17"/>
      <c r="C58" s="17"/>
      <c r="D58" s="17"/>
      <c r="E58" s="17"/>
      <c r="F58" s="30"/>
      <c r="G58" s="30"/>
      <c r="H58" s="26" t="str">
        <f t="shared" si="5"/>
        <v/>
      </c>
      <c r="I58" s="31"/>
      <c r="J58" s="17"/>
      <c r="K58" s="26" t="str">
        <f t="shared" ca="1" si="6"/>
        <v/>
      </c>
      <c r="L58" s="26" t="str">
        <f t="shared" ca="1" si="7"/>
        <v/>
      </c>
      <c r="M58" s="17"/>
      <c r="N58" s="17"/>
    </row>
    <row r="59" spans="1:14" x14ac:dyDescent="0.3">
      <c r="A59" s="20" t="str">
        <f t="shared" si="4"/>
        <v/>
      </c>
      <c r="B59" s="17"/>
      <c r="C59" s="17"/>
      <c r="D59" s="17"/>
      <c r="E59" s="17"/>
      <c r="F59" s="30"/>
      <c r="G59" s="30"/>
      <c r="H59" s="20" t="str">
        <f t="shared" si="5"/>
        <v/>
      </c>
      <c r="I59" s="31"/>
      <c r="J59" s="17"/>
      <c r="K59" s="20" t="str">
        <f t="shared" ca="1" si="6"/>
        <v/>
      </c>
      <c r="L59" s="20" t="str">
        <f t="shared" ca="1" si="7"/>
        <v/>
      </c>
      <c r="M59" s="17"/>
      <c r="N59" s="17"/>
    </row>
    <row r="60" spans="1:14" x14ac:dyDescent="0.3">
      <c r="A60" s="26" t="str">
        <f t="shared" si="4"/>
        <v/>
      </c>
      <c r="B60" s="17"/>
      <c r="C60" s="17"/>
      <c r="D60" s="17"/>
      <c r="E60" s="17"/>
      <c r="F60" s="30"/>
      <c r="G60" s="30"/>
      <c r="H60" s="26" t="str">
        <f t="shared" si="5"/>
        <v/>
      </c>
      <c r="I60" s="31"/>
      <c r="J60" s="17"/>
      <c r="K60" s="26" t="str">
        <f t="shared" ca="1" si="6"/>
        <v/>
      </c>
      <c r="L60" s="26" t="str">
        <f t="shared" ca="1" si="7"/>
        <v/>
      </c>
      <c r="M60" s="17"/>
      <c r="N60" s="17"/>
    </row>
    <row r="61" spans="1:14" x14ac:dyDescent="0.3">
      <c r="A61" s="20" t="str">
        <f t="shared" si="4"/>
        <v/>
      </c>
      <c r="B61" s="17"/>
      <c r="C61" s="17"/>
      <c r="D61" s="17"/>
      <c r="E61" s="17"/>
      <c r="F61" s="30"/>
      <c r="G61" s="30"/>
      <c r="H61" s="20" t="str">
        <f t="shared" si="5"/>
        <v/>
      </c>
      <c r="I61" s="31"/>
      <c r="J61" s="17"/>
      <c r="K61" s="20" t="str">
        <f t="shared" ca="1" si="6"/>
        <v/>
      </c>
      <c r="L61" s="20" t="str">
        <f t="shared" ca="1" si="7"/>
        <v/>
      </c>
      <c r="M61" s="17"/>
      <c r="N61" s="17"/>
    </row>
    <row r="62" spans="1:14" x14ac:dyDescent="0.3">
      <c r="A62" s="26" t="str">
        <f t="shared" si="4"/>
        <v/>
      </c>
      <c r="B62" s="17"/>
      <c r="C62" s="17"/>
      <c r="D62" s="17"/>
      <c r="E62" s="17"/>
      <c r="F62" s="30"/>
      <c r="G62" s="30"/>
      <c r="H62" s="26" t="str">
        <f t="shared" si="5"/>
        <v/>
      </c>
      <c r="I62" s="31"/>
      <c r="J62" s="17"/>
      <c r="K62" s="26" t="str">
        <f t="shared" ca="1" si="6"/>
        <v/>
      </c>
      <c r="L62" s="26" t="str">
        <f t="shared" ca="1" si="7"/>
        <v/>
      </c>
      <c r="M62" s="17"/>
      <c r="N62" s="17"/>
    </row>
    <row r="63" spans="1:14" x14ac:dyDescent="0.3">
      <c r="A63" s="20" t="str">
        <f t="shared" si="4"/>
        <v/>
      </c>
      <c r="B63" s="17"/>
      <c r="C63" s="17"/>
      <c r="D63" s="17"/>
      <c r="E63" s="17"/>
      <c r="F63" s="30"/>
      <c r="G63" s="30"/>
      <c r="H63" s="20" t="str">
        <f t="shared" si="5"/>
        <v/>
      </c>
      <c r="I63" s="31"/>
      <c r="J63" s="17"/>
      <c r="K63" s="20" t="str">
        <f t="shared" ca="1" si="6"/>
        <v/>
      </c>
      <c r="L63" s="20" t="str">
        <f t="shared" ca="1" si="7"/>
        <v/>
      </c>
      <c r="M63" s="17"/>
      <c r="N63" s="17"/>
    </row>
    <row r="64" spans="1:14" x14ac:dyDescent="0.3">
      <c r="A64" s="26" t="str">
        <f t="shared" si="4"/>
        <v/>
      </c>
      <c r="B64" s="17"/>
      <c r="C64" s="17"/>
      <c r="D64" s="17"/>
      <c r="E64" s="17"/>
      <c r="F64" s="30"/>
      <c r="G64" s="30"/>
      <c r="H64" s="26" t="str">
        <f t="shared" si="5"/>
        <v/>
      </c>
      <c r="I64" s="31"/>
      <c r="J64" s="17"/>
      <c r="K64" s="26" t="str">
        <f t="shared" ca="1" si="6"/>
        <v/>
      </c>
      <c r="L64" s="26" t="str">
        <f t="shared" ca="1" si="7"/>
        <v/>
      </c>
      <c r="M64" s="17"/>
      <c r="N64" s="17"/>
    </row>
    <row r="65" spans="1:14" x14ac:dyDescent="0.3">
      <c r="A65" s="20" t="str">
        <f t="shared" si="4"/>
        <v/>
      </c>
      <c r="B65" s="17"/>
      <c r="C65" s="17"/>
      <c r="D65" s="17"/>
      <c r="E65" s="17"/>
      <c r="F65" s="30"/>
      <c r="G65" s="30"/>
      <c r="H65" s="20" t="str">
        <f t="shared" si="5"/>
        <v/>
      </c>
      <c r="I65" s="31"/>
      <c r="J65" s="17"/>
      <c r="K65" s="20" t="str">
        <f t="shared" ca="1" si="6"/>
        <v/>
      </c>
      <c r="L65" s="20" t="str">
        <f t="shared" ca="1" si="7"/>
        <v/>
      </c>
      <c r="M65" s="17"/>
      <c r="N65" s="17"/>
    </row>
    <row r="66" spans="1:14" x14ac:dyDescent="0.3">
      <c r="A66" s="26" t="str">
        <f t="shared" si="4"/>
        <v/>
      </c>
      <c r="B66" s="17"/>
      <c r="C66" s="17"/>
      <c r="D66" s="17"/>
      <c r="E66" s="17"/>
      <c r="F66" s="30"/>
      <c r="G66" s="30"/>
      <c r="H66" s="26" t="str">
        <f t="shared" si="5"/>
        <v/>
      </c>
      <c r="I66" s="31"/>
      <c r="J66" s="17"/>
      <c r="K66" s="26" t="str">
        <f t="shared" ca="1" si="6"/>
        <v/>
      </c>
      <c r="L66" s="26" t="str">
        <f t="shared" ca="1" si="7"/>
        <v/>
      </c>
      <c r="M66" s="17"/>
      <c r="N66" s="17"/>
    </row>
    <row r="67" spans="1:14" x14ac:dyDescent="0.3">
      <c r="A67" s="20" t="str">
        <f t="shared" si="4"/>
        <v/>
      </c>
      <c r="B67" s="17"/>
      <c r="C67" s="17"/>
      <c r="D67" s="17"/>
      <c r="E67" s="17"/>
      <c r="F67" s="30"/>
      <c r="G67" s="30"/>
      <c r="H67" s="20" t="str">
        <f t="shared" si="5"/>
        <v/>
      </c>
      <c r="I67" s="31"/>
      <c r="J67" s="17"/>
      <c r="K67" s="20" t="str">
        <f t="shared" ca="1" si="6"/>
        <v/>
      </c>
      <c r="L67" s="20" t="str">
        <f t="shared" ca="1" si="7"/>
        <v/>
      </c>
      <c r="M67" s="17"/>
      <c r="N67" s="17"/>
    </row>
    <row r="68" spans="1:14" x14ac:dyDescent="0.3">
      <c r="A68" s="26" t="str">
        <f t="shared" si="4"/>
        <v/>
      </c>
      <c r="B68" s="17"/>
      <c r="C68" s="17"/>
      <c r="D68" s="17"/>
      <c r="E68" s="17"/>
      <c r="F68" s="30"/>
      <c r="G68" s="30"/>
      <c r="H68" s="26" t="str">
        <f t="shared" si="5"/>
        <v/>
      </c>
      <c r="I68" s="31"/>
      <c r="J68" s="17"/>
      <c r="K68" s="26" t="str">
        <f t="shared" ca="1" si="6"/>
        <v/>
      </c>
      <c r="L68" s="26" t="str">
        <f t="shared" ca="1" si="7"/>
        <v/>
      </c>
      <c r="M68" s="17"/>
      <c r="N68" s="17"/>
    </row>
    <row r="69" spans="1:14" x14ac:dyDescent="0.3">
      <c r="A69" s="20" t="str">
        <f t="shared" si="4"/>
        <v/>
      </c>
      <c r="B69" s="17"/>
      <c r="C69" s="17"/>
      <c r="D69" s="17"/>
      <c r="E69" s="17"/>
      <c r="F69" s="30"/>
      <c r="G69" s="30"/>
      <c r="H69" s="20" t="str">
        <f t="shared" si="5"/>
        <v/>
      </c>
      <c r="I69" s="31"/>
      <c r="J69" s="17"/>
      <c r="K69" s="20" t="str">
        <f t="shared" ca="1" si="6"/>
        <v/>
      </c>
      <c r="L69" s="20" t="str">
        <f t="shared" ca="1" si="7"/>
        <v/>
      </c>
      <c r="M69" s="17"/>
      <c r="N69" s="17"/>
    </row>
    <row r="70" spans="1:14" x14ac:dyDescent="0.3">
      <c r="A70" s="26" t="str">
        <f t="shared" si="4"/>
        <v/>
      </c>
      <c r="B70" s="17"/>
      <c r="C70" s="17"/>
      <c r="D70" s="17"/>
      <c r="E70" s="17"/>
      <c r="F70" s="30"/>
      <c r="G70" s="30"/>
      <c r="H70" s="26" t="str">
        <f t="shared" si="5"/>
        <v/>
      </c>
      <c r="I70" s="31"/>
      <c r="J70" s="17"/>
      <c r="K70" s="26" t="str">
        <f t="shared" ca="1" si="6"/>
        <v/>
      </c>
      <c r="L70" s="26" t="str">
        <f t="shared" ca="1" si="7"/>
        <v/>
      </c>
      <c r="M70" s="17"/>
      <c r="N70" s="17"/>
    </row>
    <row r="71" spans="1:14" x14ac:dyDescent="0.3">
      <c r="A71" s="20" t="str">
        <f t="shared" ref="A71:A102" si="8">IF($C71="","",ROW()-6)</f>
        <v/>
      </c>
      <c r="B71" s="17"/>
      <c r="C71" s="17"/>
      <c r="D71" s="17"/>
      <c r="E71" s="17"/>
      <c r="F71" s="30"/>
      <c r="G71" s="30"/>
      <c r="H71" s="20" t="str">
        <f t="shared" ref="H71:H102" si="9">IF(OR($C71="",$F71="",$G71=""),"",$G71-$F71+1)</f>
        <v/>
      </c>
      <c r="I71" s="31"/>
      <c r="J71" s="17"/>
      <c r="K71" s="20" t="str">
        <f t="shared" ref="K71:K102" ca="1" si="10">IF(OR($C71="",$G71=""),"",IF(OR($J71="Completada",$J71="Cancelada"),"-",$G71-TODAY()))</f>
        <v/>
      </c>
      <c r="L71" s="20" t="str">
        <f t="shared" ref="L71:L102" ca="1" si="11">IF($C71="","",IF($J71="Completada","Completada",IF($J71="Cancelada","Cancelada",IF($J71="Bloqueada","Bloqueada",IF($G71="","Sin fecha",IF($G71&lt;TODAY(),"Vencida",IF($G71-TODAY()&lt;=3,"Por vencer","En tiempo")))))))</f>
        <v/>
      </c>
      <c r="M71" s="17"/>
      <c r="N71" s="17"/>
    </row>
    <row r="72" spans="1:14" x14ac:dyDescent="0.3">
      <c r="A72" s="26" t="str">
        <f t="shared" si="8"/>
        <v/>
      </c>
      <c r="B72" s="17"/>
      <c r="C72" s="17"/>
      <c r="D72" s="17"/>
      <c r="E72" s="17"/>
      <c r="F72" s="30"/>
      <c r="G72" s="30"/>
      <c r="H72" s="26" t="str">
        <f t="shared" si="9"/>
        <v/>
      </c>
      <c r="I72" s="31"/>
      <c r="J72" s="17"/>
      <c r="K72" s="26" t="str">
        <f t="shared" ca="1" si="10"/>
        <v/>
      </c>
      <c r="L72" s="26" t="str">
        <f t="shared" ca="1" si="11"/>
        <v/>
      </c>
      <c r="M72" s="17"/>
      <c r="N72" s="17"/>
    </row>
    <row r="73" spans="1:14" x14ac:dyDescent="0.3">
      <c r="A73" s="20" t="str">
        <f t="shared" si="8"/>
        <v/>
      </c>
      <c r="B73" s="17"/>
      <c r="C73" s="17"/>
      <c r="D73" s="17"/>
      <c r="E73" s="17"/>
      <c r="F73" s="30"/>
      <c r="G73" s="30"/>
      <c r="H73" s="20" t="str">
        <f t="shared" si="9"/>
        <v/>
      </c>
      <c r="I73" s="31"/>
      <c r="J73" s="17"/>
      <c r="K73" s="20" t="str">
        <f t="shared" ca="1" si="10"/>
        <v/>
      </c>
      <c r="L73" s="20" t="str">
        <f t="shared" ca="1" si="11"/>
        <v/>
      </c>
      <c r="M73" s="17"/>
      <c r="N73" s="17"/>
    </row>
    <row r="74" spans="1:14" x14ac:dyDescent="0.3">
      <c r="A74" s="26" t="str">
        <f t="shared" si="8"/>
        <v/>
      </c>
      <c r="B74" s="17"/>
      <c r="C74" s="17"/>
      <c r="D74" s="17"/>
      <c r="E74" s="17"/>
      <c r="F74" s="30"/>
      <c r="G74" s="30"/>
      <c r="H74" s="26" t="str">
        <f t="shared" si="9"/>
        <v/>
      </c>
      <c r="I74" s="31"/>
      <c r="J74" s="17"/>
      <c r="K74" s="26" t="str">
        <f t="shared" ca="1" si="10"/>
        <v/>
      </c>
      <c r="L74" s="26" t="str">
        <f t="shared" ca="1" si="11"/>
        <v/>
      </c>
      <c r="M74" s="17"/>
      <c r="N74" s="17"/>
    </row>
    <row r="75" spans="1:14" x14ac:dyDescent="0.3">
      <c r="A75" s="20" t="str">
        <f t="shared" si="8"/>
        <v/>
      </c>
      <c r="B75" s="17"/>
      <c r="C75" s="17"/>
      <c r="D75" s="17"/>
      <c r="E75" s="17"/>
      <c r="F75" s="30"/>
      <c r="G75" s="30"/>
      <c r="H75" s="20" t="str">
        <f t="shared" si="9"/>
        <v/>
      </c>
      <c r="I75" s="31"/>
      <c r="J75" s="17"/>
      <c r="K75" s="20" t="str">
        <f t="shared" ca="1" si="10"/>
        <v/>
      </c>
      <c r="L75" s="20" t="str">
        <f t="shared" ca="1" si="11"/>
        <v/>
      </c>
      <c r="M75" s="17"/>
      <c r="N75" s="17"/>
    </row>
    <row r="76" spans="1:14" x14ac:dyDescent="0.3">
      <c r="A76" s="26" t="str">
        <f t="shared" si="8"/>
        <v/>
      </c>
      <c r="B76" s="17"/>
      <c r="C76" s="17"/>
      <c r="D76" s="17"/>
      <c r="E76" s="17"/>
      <c r="F76" s="30"/>
      <c r="G76" s="30"/>
      <c r="H76" s="26" t="str">
        <f t="shared" si="9"/>
        <v/>
      </c>
      <c r="I76" s="31"/>
      <c r="J76" s="17"/>
      <c r="K76" s="26" t="str">
        <f t="shared" ca="1" si="10"/>
        <v/>
      </c>
      <c r="L76" s="26" t="str">
        <f t="shared" ca="1" si="11"/>
        <v/>
      </c>
      <c r="M76" s="17"/>
      <c r="N76" s="17"/>
    </row>
    <row r="77" spans="1:14" x14ac:dyDescent="0.3">
      <c r="A77" s="20" t="str">
        <f t="shared" si="8"/>
        <v/>
      </c>
      <c r="B77" s="17"/>
      <c r="C77" s="17"/>
      <c r="D77" s="17"/>
      <c r="E77" s="17"/>
      <c r="F77" s="30"/>
      <c r="G77" s="30"/>
      <c r="H77" s="20" t="str">
        <f t="shared" si="9"/>
        <v/>
      </c>
      <c r="I77" s="31"/>
      <c r="J77" s="17"/>
      <c r="K77" s="20" t="str">
        <f t="shared" ca="1" si="10"/>
        <v/>
      </c>
      <c r="L77" s="20" t="str">
        <f t="shared" ca="1" si="11"/>
        <v/>
      </c>
      <c r="M77" s="17"/>
      <c r="N77" s="17"/>
    </row>
    <row r="78" spans="1:14" x14ac:dyDescent="0.3">
      <c r="A78" s="26" t="str">
        <f t="shared" si="8"/>
        <v/>
      </c>
      <c r="B78" s="17"/>
      <c r="C78" s="17"/>
      <c r="D78" s="17"/>
      <c r="E78" s="17"/>
      <c r="F78" s="30"/>
      <c r="G78" s="30"/>
      <c r="H78" s="26" t="str">
        <f t="shared" si="9"/>
        <v/>
      </c>
      <c r="I78" s="31"/>
      <c r="J78" s="17"/>
      <c r="K78" s="26" t="str">
        <f t="shared" ca="1" si="10"/>
        <v/>
      </c>
      <c r="L78" s="26" t="str">
        <f t="shared" ca="1" si="11"/>
        <v/>
      </c>
      <c r="M78" s="17"/>
      <c r="N78" s="17"/>
    </row>
    <row r="79" spans="1:14" x14ac:dyDescent="0.3">
      <c r="A79" s="20" t="str">
        <f t="shared" si="8"/>
        <v/>
      </c>
      <c r="B79" s="17"/>
      <c r="C79" s="17"/>
      <c r="D79" s="17"/>
      <c r="E79" s="17"/>
      <c r="F79" s="30"/>
      <c r="G79" s="30"/>
      <c r="H79" s="20" t="str">
        <f t="shared" si="9"/>
        <v/>
      </c>
      <c r="I79" s="31"/>
      <c r="J79" s="17"/>
      <c r="K79" s="20" t="str">
        <f t="shared" ca="1" si="10"/>
        <v/>
      </c>
      <c r="L79" s="20" t="str">
        <f t="shared" ca="1" si="11"/>
        <v/>
      </c>
      <c r="M79" s="17"/>
      <c r="N79" s="17"/>
    </row>
    <row r="80" spans="1:14" x14ac:dyDescent="0.3">
      <c r="A80" s="26" t="str">
        <f t="shared" si="8"/>
        <v/>
      </c>
      <c r="B80" s="17"/>
      <c r="C80" s="17"/>
      <c r="D80" s="17"/>
      <c r="E80" s="17"/>
      <c r="F80" s="30"/>
      <c r="G80" s="30"/>
      <c r="H80" s="26" t="str">
        <f t="shared" si="9"/>
        <v/>
      </c>
      <c r="I80" s="31"/>
      <c r="J80" s="17"/>
      <c r="K80" s="26" t="str">
        <f t="shared" ca="1" si="10"/>
        <v/>
      </c>
      <c r="L80" s="26" t="str">
        <f t="shared" ca="1" si="11"/>
        <v/>
      </c>
      <c r="M80" s="17"/>
      <c r="N80" s="17"/>
    </row>
    <row r="81" spans="1:14" x14ac:dyDescent="0.3">
      <c r="A81" s="20" t="str">
        <f t="shared" si="8"/>
        <v/>
      </c>
      <c r="B81" s="17"/>
      <c r="C81" s="17"/>
      <c r="D81" s="17"/>
      <c r="E81" s="17"/>
      <c r="F81" s="30"/>
      <c r="G81" s="30"/>
      <c r="H81" s="20" t="str">
        <f t="shared" si="9"/>
        <v/>
      </c>
      <c r="I81" s="31"/>
      <c r="J81" s="17"/>
      <c r="K81" s="20" t="str">
        <f t="shared" ca="1" si="10"/>
        <v/>
      </c>
      <c r="L81" s="20" t="str">
        <f t="shared" ca="1" si="11"/>
        <v/>
      </c>
      <c r="M81" s="17"/>
      <c r="N81" s="17"/>
    </row>
    <row r="82" spans="1:14" x14ac:dyDescent="0.3">
      <c r="A82" s="26" t="str">
        <f t="shared" si="8"/>
        <v/>
      </c>
      <c r="B82" s="17"/>
      <c r="C82" s="17"/>
      <c r="D82" s="17"/>
      <c r="E82" s="17"/>
      <c r="F82" s="30"/>
      <c r="G82" s="30"/>
      <c r="H82" s="26" t="str">
        <f t="shared" si="9"/>
        <v/>
      </c>
      <c r="I82" s="31"/>
      <c r="J82" s="17"/>
      <c r="K82" s="26" t="str">
        <f t="shared" ca="1" si="10"/>
        <v/>
      </c>
      <c r="L82" s="26" t="str">
        <f t="shared" ca="1" si="11"/>
        <v/>
      </c>
      <c r="M82" s="17"/>
      <c r="N82" s="17"/>
    </row>
    <row r="83" spans="1:14" x14ac:dyDescent="0.3">
      <c r="A83" s="20" t="str">
        <f t="shared" si="8"/>
        <v/>
      </c>
      <c r="B83" s="17"/>
      <c r="C83" s="17"/>
      <c r="D83" s="17"/>
      <c r="E83" s="17"/>
      <c r="F83" s="30"/>
      <c r="G83" s="30"/>
      <c r="H83" s="20" t="str">
        <f t="shared" si="9"/>
        <v/>
      </c>
      <c r="I83" s="31"/>
      <c r="J83" s="17"/>
      <c r="K83" s="20" t="str">
        <f t="shared" ca="1" si="10"/>
        <v/>
      </c>
      <c r="L83" s="20" t="str">
        <f t="shared" ca="1" si="11"/>
        <v/>
      </c>
      <c r="M83" s="17"/>
      <c r="N83" s="17"/>
    </row>
    <row r="84" spans="1:14" x14ac:dyDescent="0.3">
      <c r="A84" s="26" t="str">
        <f t="shared" si="8"/>
        <v/>
      </c>
      <c r="B84" s="17"/>
      <c r="C84" s="17"/>
      <c r="D84" s="17"/>
      <c r="E84" s="17"/>
      <c r="F84" s="30"/>
      <c r="G84" s="30"/>
      <c r="H84" s="26" t="str">
        <f t="shared" si="9"/>
        <v/>
      </c>
      <c r="I84" s="31"/>
      <c r="J84" s="17"/>
      <c r="K84" s="26" t="str">
        <f t="shared" ca="1" si="10"/>
        <v/>
      </c>
      <c r="L84" s="26" t="str">
        <f t="shared" ca="1" si="11"/>
        <v/>
      </c>
      <c r="M84" s="17"/>
      <c r="N84" s="17"/>
    </row>
    <row r="85" spans="1:14" x14ac:dyDescent="0.3">
      <c r="A85" s="20" t="str">
        <f t="shared" si="8"/>
        <v/>
      </c>
      <c r="B85" s="17"/>
      <c r="C85" s="17"/>
      <c r="D85" s="17"/>
      <c r="E85" s="17"/>
      <c r="F85" s="30"/>
      <c r="G85" s="30"/>
      <c r="H85" s="20" t="str">
        <f t="shared" si="9"/>
        <v/>
      </c>
      <c r="I85" s="31"/>
      <c r="J85" s="17"/>
      <c r="K85" s="20" t="str">
        <f t="shared" ca="1" si="10"/>
        <v/>
      </c>
      <c r="L85" s="20" t="str">
        <f t="shared" ca="1" si="11"/>
        <v/>
      </c>
      <c r="M85" s="17"/>
      <c r="N85" s="17"/>
    </row>
    <row r="86" spans="1:14" x14ac:dyDescent="0.3">
      <c r="A86" s="26" t="str">
        <f t="shared" si="8"/>
        <v/>
      </c>
      <c r="B86" s="17"/>
      <c r="C86" s="17"/>
      <c r="D86" s="17"/>
      <c r="E86" s="17"/>
      <c r="F86" s="30"/>
      <c r="G86" s="30"/>
      <c r="H86" s="26" t="str">
        <f t="shared" si="9"/>
        <v/>
      </c>
      <c r="I86" s="31"/>
      <c r="J86" s="17"/>
      <c r="K86" s="26" t="str">
        <f t="shared" ca="1" si="10"/>
        <v/>
      </c>
      <c r="L86" s="26" t="str">
        <f t="shared" ca="1" si="11"/>
        <v/>
      </c>
      <c r="M86" s="17"/>
      <c r="N86" s="17"/>
    </row>
    <row r="87" spans="1:14" x14ac:dyDescent="0.3">
      <c r="A87" s="20" t="str">
        <f t="shared" si="8"/>
        <v/>
      </c>
      <c r="B87" s="17"/>
      <c r="C87" s="17"/>
      <c r="D87" s="17"/>
      <c r="E87" s="17"/>
      <c r="F87" s="30"/>
      <c r="G87" s="30"/>
      <c r="H87" s="20" t="str">
        <f t="shared" si="9"/>
        <v/>
      </c>
      <c r="I87" s="31"/>
      <c r="J87" s="17"/>
      <c r="K87" s="20" t="str">
        <f t="shared" ca="1" si="10"/>
        <v/>
      </c>
      <c r="L87" s="20" t="str">
        <f t="shared" ca="1" si="11"/>
        <v/>
      </c>
      <c r="M87" s="17"/>
      <c r="N87" s="17"/>
    </row>
    <row r="88" spans="1:14" x14ac:dyDescent="0.3">
      <c r="A88" s="26" t="str">
        <f t="shared" si="8"/>
        <v/>
      </c>
      <c r="B88" s="17"/>
      <c r="C88" s="17"/>
      <c r="D88" s="17"/>
      <c r="E88" s="17"/>
      <c r="F88" s="30"/>
      <c r="G88" s="30"/>
      <c r="H88" s="26" t="str">
        <f t="shared" si="9"/>
        <v/>
      </c>
      <c r="I88" s="31"/>
      <c r="J88" s="17"/>
      <c r="K88" s="26" t="str">
        <f t="shared" ca="1" si="10"/>
        <v/>
      </c>
      <c r="L88" s="26" t="str">
        <f t="shared" ca="1" si="11"/>
        <v/>
      </c>
      <c r="M88" s="17"/>
      <c r="N88" s="17"/>
    </row>
    <row r="89" spans="1:14" x14ac:dyDescent="0.3">
      <c r="A89" s="20" t="str">
        <f t="shared" si="8"/>
        <v/>
      </c>
      <c r="B89" s="17"/>
      <c r="C89" s="17"/>
      <c r="D89" s="17"/>
      <c r="E89" s="17"/>
      <c r="F89" s="30"/>
      <c r="G89" s="30"/>
      <c r="H89" s="20" t="str">
        <f t="shared" si="9"/>
        <v/>
      </c>
      <c r="I89" s="31"/>
      <c r="J89" s="17"/>
      <c r="K89" s="20" t="str">
        <f t="shared" ca="1" si="10"/>
        <v/>
      </c>
      <c r="L89" s="20" t="str">
        <f t="shared" ca="1" si="11"/>
        <v/>
      </c>
      <c r="M89" s="17"/>
      <c r="N89" s="17"/>
    </row>
    <row r="90" spans="1:14" x14ac:dyDescent="0.3">
      <c r="A90" s="26" t="str">
        <f t="shared" si="8"/>
        <v/>
      </c>
      <c r="B90" s="17"/>
      <c r="C90" s="17"/>
      <c r="D90" s="17"/>
      <c r="E90" s="17"/>
      <c r="F90" s="30"/>
      <c r="G90" s="30"/>
      <c r="H90" s="26" t="str">
        <f t="shared" si="9"/>
        <v/>
      </c>
      <c r="I90" s="31"/>
      <c r="J90" s="17"/>
      <c r="K90" s="26" t="str">
        <f t="shared" ca="1" si="10"/>
        <v/>
      </c>
      <c r="L90" s="26" t="str">
        <f t="shared" ca="1" si="11"/>
        <v/>
      </c>
      <c r="M90" s="17"/>
      <c r="N90" s="17"/>
    </row>
    <row r="91" spans="1:14" x14ac:dyDescent="0.3">
      <c r="A91" s="20" t="str">
        <f t="shared" si="8"/>
        <v/>
      </c>
      <c r="B91" s="17"/>
      <c r="C91" s="17"/>
      <c r="D91" s="17"/>
      <c r="E91" s="17"/>
      <c r="F91" s="30"/>
      <c r="G91" s="30"/>
      <c r="H91" s="20" t="str">
        <f t="shared" si="9"/>
        <v/>
      </c>
      <c r="I91" s="31"/>
      <c r="J91" s="17"/>
      <c r="K91" s="20" t="str">
        <f t="shared" ca="1" si="10"/>
        <v/>
      </c>
      <c r="L91" s="20" t="str">
        <f t="shared" ca="1" si="11"/>
        <v/>
      </c>
      <c r="M91" s="17"/>
      <c r="N91" s="17"/>
    </row>
    <row r="92" spans="1:14" x14ac:dyDescent="0.3">
      <c r="A92" s="26" t="str">
        <f t="shared" si="8"/>
        <v/>
      </c>
      <c r="B92" s="17"/>
      <c r="C92" s="17"/>
      <c r="D92" s="17"/>
      <c r="E92" s="17"/>
      <c r="F92" s="30"/>
      <c r="G92" s="30"/>
      <c r="H92" s="26" t="str">
        <f t="shared" si="9"/>
        <v/>
      </c>
      <c r="I92" s="31"/>
      <c r="J92" s="17"/>
      <c r="K92" s="26" t="str">
        <f t="shared" ca="1" si="10"/>
        <v/>
      </c>
      <c r="L92" s="26" t="str">
        <f t="shared" ca="1" si="11"/>
        <v/>
      </c>
      <c r="M92" s="17"/>
      <c r="N92" s="17"/>
    </row>
    <row r="93" spans="1:14" x14ac:dyDescent="0.3">
      <c r="A93" s="20" t="str">
        <f t="shared" si="8"/>
        <v/>
      </c>
      <c r="B93" s="17"/>
      <c r="C93" s="17"/>
      <c r="D93" s="17"/>
      <c r="E93" s="17"/>
      <c r="F93" s="30"/>
      <c r="G93" s="30"/>
      <c r="H93" s="20" t="str">
        <f t="shared" si="9"/>
        <v/>
      </c>
      <c r="I93" s="31"/>
      <c r="J93" s="17"/>
      <c r="K93" s="20" t="str">
        <f t="shared" ca="1" si="10"/>
        <v/>
      </c>
      <c r="L93" s="20" t="str">
        <f t="shared" ca="1" si="11"/>
        <v/>
      </c>
      <c r="M93" s="17"/>
      <c r="N93" s="17"/>
    </row>
    <row r="94" spans="1:14" x14ac:dyDescent="0.3">
      <c r="A94" s="26" t="str">
        <f t="shared" si="8"/>
        <v/>
      </c>
      <c r="B94" s="17"/>
      <c r="C94" s="17"/>
      <c r="D94" s="17"/>
      <c r="E94" s="17"/>
      <c r="F94" s="30"/>
      <c r="G94" s="30"/>
      <c r="H94" s="26" t="str">
        <f t="shared" si="9"/>
        <v/>
      </c>
      <c r="I94" s="31"/>
      <c r="J94" s="17"/>
      <c r="K94" s="26" t="str">
        <f t="shared" ca="1" si="10"/>
        <v/>
      </c>
      <c r="L94" s="26" t="str">
        <f t="shared" ca="1" si="11"/>
        <v/>
      </c>
      <c r="M94" s="17"/>
      <c r="N94" s="17"/>
    </row>
    <row r="95" spans="1:14" x14ac:dyDescent="0.3">
      <c r="A95" s="20" t="str">
        <f t="shared" si="8"/>
        <v/>
      </c>
      <c r="B95" s="17"/>
      <c r="C95" s="17"/>
      <c r="D95" s="17"/>
      <c r="E95" s="17"/>
      <c r="F95" s="30"/>
      <c r="G95" s="30"/>
      <c r="H95" s="20" t="str">
        <f t="shared" si="9"/>
        <v/>
      </c>
      <c r="I95" s="31"/>
      <c r="J95" s="17"/>
      <c r="K95" s="20" t="str">
        <f t="shared" ca="1" si="10"/>
        <v/>
      </c>
      <c r="L95" s="20" t="str">
        <f t="shared" ca="1" si="11"/>
        <v/>
      </c>
      <c r="M95" s="17"/>
      <c r="N95" s="17"/>
    </row>
    <row r="96" spans="1:14" x14ac:dyDescent="0.3">
      <c r="A96" s="26" t="str">
        <f t="shared" si="8"/>
        <v/>
      </c>
      <c r="B96" s="17"/>
      <c r="C96" s="17"/>
      <c r="D96" s="17"/>
      <c r="E96" s="17"/>
      <c r="F96" s="30"/>
      <c r="G96" s="30"/>
      <c r="H96" s="26" t="str">
        <f t="shared" si="9"/>
        <v/>
      </c>
      <c r="I96" s="31"/>
      <c r="J96" s="17"/>
      <c r="K96" s="26" t="str">
        <f t="shared" ca="1" si="10"/>
        <v/>
      </c>
      <c r="L96" s="26" t="str">
        <f t="shared" ca="1" si="11"/>
        <v/>
      </c>
      <c r="M96" s="17"/>
      <c r="N96" s="17"/>
    </row>
    <row r="97" spans="1:14" x14ac:dyDescent="0.3">
      <c r="A97" s="20" t="str">
        <f t="shared" si="8"/>
        <v/>
      </c>
      <c r="B97" s="17"/>
      <c r="C97" s="17"/>
      <c r="D97" s="17"/>
      <c r="E97" s="17"/>
      <c r="F97" s="30"/>
      <c r="G97" s="30"/>
      <c r="H97" s="20" t="str">
        <f t="shared" si="9"/>
        <v/>
      </c>
      <c r="I97" s="31"/>
      <c r="J97" s="17"/>
      <c r="K97" s="20" t="str">
        <f t="shared" ca="1" si="10"/>
        <v/>
      </c>
      <c r="L97" s="20" t="str">
        <f t="shared" ca="1" si="11"/>
        <v/>
      </c>
      <c r="M97" s="17"/>
      <c r="N97" s="17"/>
    </row>
    <row r="98" spans="1:14" x14ac:dyDescent="0.3">
      <c r="A98" s="26" t="str">
        <f t="shared" si="8"/>
        <v/>
      </c>
      <c r="B98" s="17"/>
      <c r="C98" s="17"/>
      <c r="D98" s="17"/>
      <c r="E98" s="17"/>
      <c r="F98" s="30"/>
      <c r="G98" s="30"/>
      <c r="H98" s="26" t="str">
        <f t="shared" si="9"/>
        <v/>
      </c>
      <c r="I98" s="31"/>
      <c r="J98" s="17"/>
      <c r="K98" s="26" t="str">
        <f t="shared" ca="1" si="10"/>
        <v/>
      </c>
      <c r="L98" s="26" t="str">
        <f t="shared" ca="1" si="11"/>
        <v/>
      </c>
      <c r="M98" s="17"/>
      <c r="N98" s="17"/>
    </row>
    <row r="99" spans="1:14" x14ac:dyDescent="0.3">
      <c r="A99" s="20" t="str">
        <f t="shared" si="8"/>
        <v/>
      </c>
      <c r="B99" s="17"/>
      <c r="C99" s="17"/>
      <c r="D99" s="17"/>
      <c r="E99" s="17"/>
      <c r="F99" s="30"/>
      <c r="G99" s="30"/>
      <c r="H99" s="20" t="str">
        <f t="shared" si="9"/>
        <v/>
      </c>
      <c r="I99" s="31"/>
      <c r="J99" s="17"/>
      <c r="K99" s="20" t="str">
        <f t="shared" ca="1" si="10"/>
        <v/>
      </c>
      <c r="L99" s="20" t="str">
        <f t="shared" ca="1" si="11"/>
        <v/>
      </c>
      <c r="M99" s="17"/>
      <c r="N99" s="17"/>
    </row>
    <row r="100" spans="1:14" x14ac:dyDescent="0.3">
      <c r="A100" s="26" t="str">
        <f t="shared" si="8"/>
        <v/>
      </c>
      <c r="B100" s="17"/>
      <c r="C100" s="17"/>
      <c r="D100" s="17"/>
      <c r="E100" s="17"/>
      <c r="F100" s="30"/>
      <c r="G100" s="30"/>
      <c r="H100" s="26" t="str">
        <f t="shared" si="9"/>
        <v/>
      </c>
      <c r="I100" s="31"/>
      <c r="J100" s="17"/>
      <c r="K100" s="26" t="str">
        <f t="shared" ca="1" si="10"/>
        <v/>
      </c>
      <c r="L100" s="26" t="str">
        <f t="shared" ca="1" si="11"/>
        <v/>
      </c>
      <c r="M100" s="17"/>
      <c r="N100" s="17"/>
    </row>
    <row r="101" spans="1:14" x14ac:dyDescent="0.3">
      <c r="A101" s="20" t="str">
        <f t="shared" si="8"/>
        <v/>
      </c>
      <c r="B101" s="17"/>
      <c r="C101" s="17"/>
      <c r="D101" s="17"/>
      <c r="E101" s="17"/>
      <c r="F101" s="30"/>
      <c r="G101" s="30"/>
      <c r="H101" s="20" t="str">
        <f t="shared" si="9"/>
        <v/>
      </c>
      <c r="I101" s="31"/>
      <c r="J101" s="17"/>
      <c r="K101" s="20" t="str">
        <f t="shared" ca="1" si="10"/>
        <v/>
      </c>
      <c r="L101" s="20" t="str">
        <f t="shared" ca="1" si="11"/>
        <v/>
      </c>
      <c r="M101" s="17"/>
      <c r="N101" s="17"/>
    </row>
    <row r="102" spans="1:14" x14ac:dyDescent="0.3">
      <c r="A102" s="26" t="str">
        <f t="shared" si="8"/>
        <v/>
      </c>
      <c r="B102" s="17"/>
      <c r="C102" s="17"/>
      <c r="D102" s="17"/>
      <c r="E102" s="17"/>
      <c r="F102" s="30"/>
      <c r="G102" s="30"/>
      <c r="H102" s="26" t="str">
        <f t="shared" si="9"/>
        <v/>
      </c>
      <c r="I102" s="31"/>
      <c r="J102" s="17"/>
      <c r="K102" s="26" t="str">
        <f t="shared" ca="1" si="10"/>
        <v/>
      </c>
      <c r="L102" s="26" t="str">
        <f t="shared" ca="1" si="11"/>
        <v/>
      </c>
      <c r="M102" s="17"/>
      <c r="N102" s="17"/>
    </row>
    <row r="103" spans="1:14" x14ac:dyDescent="0.3">
      <c r="A103" s="20" t="str">
        <f t="shared" ref="A103:A126" si="12">IF($C103="","",ROW()-6)</f>
        <v/>
      </c>
      <c r="B103" s="17"/>
      <c r="C103" s="17"/>
      <c r="D103" s="17"/>
      <c r="E103" s="17"/>
      <c r="F103" s="30"/>
      <c r="G103" s="30"/>
      <c r="H103" s="20" t="str">
        <f t="shared" ref="H103:H126" si="13">IF(OR($C103="",$F103="",$G103=""),"",$G103-$F103+1)</f>
        <v/>
      </c>
      <c r="I103" s="31"/>
      <c r="J103" s="17"/>
      <c r="K103" s="20" t="str">
        <f t="shared" ref="K103:K126" ca="1" si="14">IF(OR($C103="",$G103=""),"",IF(OR($J103="Completada",$J103="Cancelada"),"-",$G103-TODAY()))</f>
        <v/>
      </c>
      <c r="L103" s="20" t="str">
        <f t="shared" ref="L103:L126" ca="1" si="15">IF($C103="","",IF($J103="Completada","Completada",IF($J103="Cancelada","Cancelada",IF($J103="Bloqueada","Bloqueada",IF($G103="","Sin fecha",IF($G103&lt;TODAY(),"Vencida",IF($G103-TODAY()&lt;=3,"Por vencer","En tiempo")))))))</f>
        <v/>
      </c>
      <c r="M103" s="17"/>
      <c r="N103" s="17"/>
    </row>
    <row r="104" spans="1:14" x14ac:dyDescent="0.3">
      <c r="A104" s="26" t="str">
        <f t="shared" si="12"/>
        <v/>
      </c>
      <c r="B104" s="17"/>
      <c r="C104" s="17"/>
      <c r="D104" s="17"/>
      <c r="E104" s="17"/>
      <c r="F104" s="30"/>
      <c r="G104" s="30"/>
      <c r="H104" s="26" t="str">
        <f t="shared" si="13"/>
        <v/>
      </c>
      <c r="I104" s="31"/>
      <c r="J104" s="17"/>
      <c r="K104" s="26" t="str">
        <f t="shared" ca="1" si="14"/>
        <v/>
      </c>
      <c r="L104" s="26" t="str">
        <f t="shared" ca="1" si="15"/>
        <v/>
      </c>
      <c r="M104" s="17"/>
      <c r="N104" s="17"/>
    </row>
    <row r="105" spans="1:14" x14ac:dyDescent="0.3">
      <c r="A105" s="20" t="str">
        <f t="shared" si="12"/>
        <v/>
      </c>
      <c r="B105" s="17"/>
      <c r="C105" s="17"/>
      <c r="D105" s="17"/>
      <c r="E105" s="17"/>
      <c r="F105" s="30"/>
      <c r="G105" s="30"/>
      <c r="H105" s="20" t="str">
        <f t="shared" si="13"/>
        <v/>
      </c>
      <c r="I105" s="31"/>
      <c r="J105" s="17"/>
      <c r="K105" s="20" t="str">
        <f t="shared" ca="1" si="14"/>
        <v/>
      </c>
      <c r="L105" s="20" t="str">
        <f t="shared" ca="1" si="15"/>
        <v/>
      </c>
      <c r="M105" s="17"/>
      <c r="N105" s="17"/>
    </row>
    <row r="106" spans="1:14" x14ac:dyDescent="0.3">
      <c r="A106" s="26" t="str">
        <f t="shared" si="12"/>
        <v/>
      </c>
      <c r="B106" s="17"/>
      <c r="C106" s="17"/>
      <c r="D106" s="17"/>
      <c r="E106" s="17"/>
      <c r="F106" s="30"/>
      <c r="G106" s="30"/>
      <c r="H106" s="26" t="str">
        <f t="shared" si="13"/>
        <v/>
      </c>
      <c r="I106" s="31"/>
      <c r="J106" s="17"/>
      <c r="K106" s="26" t="str">
        <f t="shared" ca="1" si="14"/>
        <v/>
      </c>
      <c r="L106" s="26" t="str">
        <f t="shared" ca="1" si="15"/>
        <v/>
      </c>
      <c r="M106" s="17"/>
      <c r="N106" s="17"/>
    </row>
    <row r="107" spans="1:14" x14ac:dyDescent="0.3">
      <c r="A107" s="20" t="str">
        <f t="shared" si="12"/>
        <v/>
      </c>
      <c r="B107" s="17"/>
      <c r="C107" s="17"/>
      <c r="D107" s="17"/>
      <c r="E107" s="17"/>
      <c r="F107" s="30"/>
      <c r="G107" s="30"/>
      <c r="H107" s="20" t="str">
        <f t="shared" si="13"/>
        <v/>
      </c>
      <c r="I107" s="31"/>
      <c r="J107" s="17"/>
      <c r="K107" s="20" t="str">
        <f t="shared" ca="1" si="14"/>
        <v/>
      </c>
      <c r="L107" s="20" t="str">
        <f t="shared" ca="1" si="15"/>
        <v/>
      </c>
      <c r="M107" s="17"/>
      <c r="N107" s="17"/>
    </row>
    <row r="108" spans="1:14" x14ac:dyDescent="0.3">
      <c r="A108" s="26" t="str">
        <f t="shared" si="12"/>
        <v/>
      </c>
      <c r="B108" s="17"/>
      <c r="C108" s="17"/>
      <c r="D108" s="17"/>
      <c r="E108" s="17"/>
      <c r="F108" s="30"/>
      <c r="G108" s="30"/>
      <c r="H108" s="26" t="str">
        <f t="shared" si="13"/>
        <v/>
      </c>
      <c r="I108" s="31"/>
      <c r="J108" s="17"/>
      <c r="K108" s="26" t="str">
        <f t="shared" ca="1" si="14"/>
        <v/>
      </c>
      <c r="L108" s="26" t="str">
        <f t="shared" ca="1" si="15"/>
        <v/>
      </c>
      <c r="M108" s="17"/>
      <c r="N108" s="17"/>
    </row>
    <row r="109" spans="1:14" x14ac:dyDescent="0.3">
      <c r="A109" s="20" t="str">
        <f t="shared" si="12"/>
        <v/>
      </c>
      <c r="B109" s="17"/>
      <c r="C109" s="17"/>
      <c r="D109" s="17"/>
      <c r="E109" s="17"/>
      <c r="F109" s="30"/>
      <c r="G109" s="30"/>
      <c r="H109" s="20" t="str">
        <f t="shared" si="13"/>
        <v/>
      </c>
      <c r="I109" s="31"/>
      <c r="J109" s="17"/>
      <c r="K109" s="20" t="str">
        <f t="shared" ca="1" si="14"/>
        <v/>
      </c>
      <c r="L109" s="20" t="str">
        <f t="shared" ca="1" si="15"/>
        <v/>
      </c>
      <c r="M109" s="17"/>
      <c r="N109" s="17"/>
    </row>
    <row r="110" spans="1:14" x14ac:dyDescent="0.3">
      <c r="A110" s="26" t="str">
        <f t="shared" si="12"/>
        <v/>
      </c>
      <c r="B110" s="17"/>
      <c r="C110" s="17"/>
      <c r="D110" s="17"/>
      <c r="E110" s="17"/>
      <c r="F110" s="30"/>
      <c r="G110" s="30"/>
      <c r="H110" s="26" t="str">
        <f t="shared" si="13"/>
        <v/>
      </c>
      <c r="I110" s="31"/>
      <c r="J110" s="17"/>
      <c r="K110" s="26" t="str">
        <f t="shared" ca="1" si="14"/>
        <v/>
      </c>
      <c r="L110" s="26" t="str">
        <f t="shared" ca="1" si="15"/>
        <v/>
      </c>
      <c r="M110" s="17"/>
      <c r="N110" s="17"/>
    </row>
    <row r="111" spans="1:14" x14ac:dyDescent="0.3">
      <c r="A111" s="20" t="str">
        <f t="shared" si="12"/>
        <v/>
      </c>
      <c r="B111" s="17"/>
      <c r="C111" s="17"/>
      <c r="D111" s="17"/>
      <c r="E111" s="17"/>
      <c r="F111" s="30"/>
      <c r="G111" s="30"/>
      <c r="H111" s="20" t="str">
        <f t="shared" si="13"/>
        <v/>
      </c>
      <c r="I111" s="31"/>
      <c r="J111" s="17"/>
      <c r="K111" s="20" t="str">
        <f t="shared" ca="1" si="14"/>
        <v/>
      </c>
      <c r="L111" s="20" t="str">
        <f t="shared" ca="1" si="15"/>
        <v/>
      </c>
      <c r="M111" s="17"/>
      <c r="N111" s="17"/>
    </row>
    <row r="112" spans="1:14" x14ac:dyDescent="0.3">
      <c r="A112" s="26" t="str">
        <f t="shared" si="12"/>
        <v/>
      </c>
      <c r="B112" s="17"/>
      <c r="C112" s="17"/>
      <c r="D112" s="17"/>
      <c r="E112" s="17"/>
      <c r="F112" s="30"/>
      <c r="G112" s="30"/>
      <c r="H112" s="26" t="str">
        <f t="shared" si="13"/>
        <v/>
      </c>
      <c r="I112" s="31"/>
      <c r="J112" s="17"/>
      <c r="K112" s="26" t="str">
        <f t="shared" ca="1" si="14"/>
        <v/>
      </c>
      <c r="L112" s="26" t="str">
        <f t="shared" ca="1" si="15"/>
        <v/>
      </c>
      <c r="M112" s="17"/>
      <c r="N112" s="17"/>
    </row>
    <row r="113" spans="1:14" x14ac:dyDescent="0.3">
      <c r="A113" s="20" t="str">
        <f t="shared" si="12"/>
        <v/>
      </c>
      <c r="B113" s="17"/>
      <c r="C113" s="17"/>
      <c r="D113" s="17"/>
      <c r="E113" s="17"/>
      <c r="F113" s="30"/>
      <c r="G113" s="30"/>
      <c r="H113" s="20" t="str">
        <f t="shared" si="13"/>
        <v/>
      </c>
      <c r="I113" s="31"/>
      <c r="J113" s="17"/>
      <c r="K113" s="20" t="str">
        <f t="shared" ca="1" si="14"/>
        <v/>
      </c>
      <c r="L113" s="20" t="str">
        <f t="shared" ca="1" si="15"/>
        <v/>
      </c>
      <c r="M113" s="17"/>
      <c r="N113" s="17"/>
    </row>
    <row r="114" spans="1:14" x14ac:dyDescent="0.3">
      <c r="A114" s="26" t="str">
        <f t="shared" si="12"/>
        <v/>
      </c>
      <c r="B114" s="17"/>
      <c r="C114" s="17"/>
      <c r="D114" s="17"/>
      <c r="E114" s="17"/>
      <c r="F114" s="30"/>
      <c r="G114" s="30"/>
      <c r="H114" s="26" t="str">
        <f t="shared" si="13"/>
        <v/>
      </c>
      <c r="I114" s="31"/>
      <c r="J114" s="17"/>
      <c r="K114" s="26" t="str">
        <f t="shared" ca="1" si="14"/>
        <v/>
      </c>
      <c r="L114" s="26" t="str">
        <f t="shared" ca="1" si="15"/>
        <v/>
      </c>
      <c r="M114" s="17"/>
      <c r="N114" s="17"/>
    </row>
    <row r="115" spans="1:14" x14ac:dyDescent="0.3">
      <c r="A115" s="20" t="str">
        <f t="shared" si="12"/>
        <v/>
      </c>
      <c r="B115" s="17"/>
      <c r="C115" s="17"/>
      <c r="D115" s="17"/>
      <c r="E115" s="17"/>
      <c r="F115" s="30"/>
      <c r="G115" s="30"/>
      <c r="H115" s="20" t="str">
        <f t="shared" si="13"/>
        <v/>
      </c>
      <c r="I115" s="31"/>
      <c r="J115" s="17"/>
      <c r="K115" s="20" t="str">
        <f t="shared" ca="1" si="14"/>
        <v/>
      </c>
      <c r="L115" s="20" t="str">
        <f t="shared" ca="1" si="15"/>
        <v/>
      </c>
      <c r="M115" s="17"/>
      <c r="N115" s="17"/>
    </row>
    <row r="116" spans="1:14" x14ac:dyDescent="0.3">
      <c r="A116" s="26" t="str">
        <f t="shared" si="12"/>
        <v/>
      </c>
      <c r="B116" s="17"/>
      <c r="C116" s="17"/>
      <c r="D116" s="17"/>
      <c r="E116" s="17"/>
      <c r="F116" s="30"/>
      <c r="G116" s="30"/>
      <c r="H116" s="26" t="str">
        <f t="shared" si="13"/>
        <v/>
      </c>
      <c r="I116" s="31"/>
      <c r="J116" s="17"/>
      <c r="K116" s="26" t="str">
        <f t="shared" ca="1" si="14"/>
        <v/>
      </c>
      <c r="L116" s="26" t="str">
        <f t="shared" ca="1" si="15"/>
        <v/>
      </c>
      <c r="M116" s="17"/>
      <c r="N116" s="17"/>
    </row>
    <row r="117" spans="1:14" x14ac:dyDescent="0.3">
      <c r="A117" s="20" t="str">
        <f t="shared" si="12"/>
        <v/>
      </c>
      <c r="B117" s="17"/>
      <c r="C117" s="17"/>
      <c r="D117" s="17"/>
      <c r="E117" s="17"/>
      <c r="F117" s="30"/>
      <c r="G117" s="30"/>
      <c r="H117" s="20" t="str">
        <f t="shared" si="13"/>
        <v/>
      </c>
      <c r="I117" s="31"/>
      <c r="J117" s="17"/>
      <c r="K117" s="20" t="str">
        <f t="shared" ca="1" si="14"/>
        <v/>
      </c>
      <c r="L117" s="20" t="str">
        <f t="shared" ca="1" si="15"/>
        <v/>
      </c>
      <c r="M117" s="17"/>
      <c r="N117" s="17"/>
    </row>
    <row r="118" spans="1:14" x14ac:dyDescent="0.3">
      <c r="A118" s="26" t="str">
        <f t="shared" si="12"/>
        <v/>
      </c>
      <c r="B118" s="17"/>
      <c r="C118" s="17"/>
      <c r="D118" s="17"/>
      <c r="E118" s="17"/>
      <c r="F118" s="30"/>
      <c r="G118" s="30"/>
      <c r="H118" s="26" t="str">
        <f t="shared" si="13"/>
        <v/>
      </c>
      <c r="I118" s="31"/>
      <c r="J118" s="17"/>
      <c r="K118" s="26" t="str">
        <f t="shared" ca="1" si="14"/>
        <v/>
      </c>
      <c r="L118" s="26" t="str">
        <f t="shared" ca="1" si="15"/>
        <v/>
      </c>
      <c r="M118" s="17"/>
      <c r="N118" s="17"/>
    </row>
    <row r="119" spans="1:14" x14ac:dyDescent="0.3">
      <c r="A119" s="20" t="str">
        <f t="shared" si="12"/>
        <v/>
      </c>
      <c r="B119" s="17"/>
      <c r="C119" s="17"/>
      <c r="D119" s="17"/>
      <c r="E119" s="17"/>
      <c r="F119" s="30"/>
      <c r="G119" s="30"/>
      <c r="H119" s="20" t="str">
        <f t="shared" si="13"/>
        <v/>
      </c>
      <c r="I119" s="31"/>
      <c r="J119" s="17"/>
      <c r="K119" s="20" t="str">
        <f t="shared" ca="1" si="14"/>
        <v/>
      </c>
      <c r="L119" s="20" t="str">
        <f t="shared" ca="1" si="15"/>
        <v/>
      </c>
      <c r="M119" s="17"/>
      <c r="N119" s="17"/>
    </row>
    <row r="120" spans="1:14" x14ac:dyDescent="0.3">
      <c r="A120" s="26" t="str">
        <f t="shared" si="12"/>
        <v/>
      </c>
      <c r="B120" s="17"/>
      <c r="C120" s="17"/>
      <c r="D120" s="17"/>
      <c r="E120" s="17"/>
      <c r="F120" s="30"/>
      <c r="G120" s="30"/>
      <c r="H120" s="26" t="str">
        <f t="shared" si="13"/>
        <v/>
      </c>
      <c r="I120" s="31"/>
      <c r="J120" s="17"/>
      <c r="K120" s="26" t="str">
        <f t="shared" ca="1" si="14"/>
        <v/>
      </c>
      <c r="L120" s="26" t="str">
        <f t="shared" ca="1" si="15"/>
        <v/>
      </c>
      <c r="M120" s="17"/>
      <c r="N120" s="17"/>
    </row>
    <row r="121" spans="1:14" x14ac:dyDescent="0.3">
      <c r="A121" s="20" t="str">
        <f t="shared" si="12"/>
        <v/>
      </c>
      <c r="B121" s="17"/>
      <c r="C121" s="17"/>
      <c r="D121" s="17"/>
      <c r="E121" s="17"/>
      <c r="F121" s="30"/>
      <c r="G121" s="30"/>
      <c r="H121" s="20" t="str">
        <f t="shared" si="13"/>
        <v/>
      </c>
      <c r="I121" s="31"/>
      <c r="J121" s="17"/>
      <c r="K121" s="20" t="str">
        <f t="shared" ca="1" si="14"/>
        <v/>
      </c>
      <c r="L121" s="20" t="str">
        <f t="shared" ca="1" si="15"/>
        <v/>
      </c>
      <c r="M121" s="17"/>
      <c r="N121" s="17"/>
    </row>
    <row r="122" spans="1:14" x14ac:dyDescent="0.3">
      <c r="A122" s="26" t="str">
        <f t="shared" si="12"/>
        <v/>
      </c>
      <c r="B122" s="17"/>
      <c r="C122" s="17"/>
      <c r="D122" s="17"/>
      <c r="E122" s="17"/>
      <c r="F122" s="30"/>
      <c r="G122" s="30"/>
      <c r="H122" s="26" t="str">
        <f t="shared" si="13"/>
        <v/>
      </c>
      <c r="I122" s="31"/>
      <c r="J122" s="17"/>
      <c r="K122" s="26" t="str">
        <f t="shared" ca="1" si="14"/>
        <v/>
      </c>
      <c r="L122" s="26" t="str">
        <f t="shared" ca="1" si="15"/>
        <v/>
      </c>
      <c r="M122" s="17"/>
      <c r="N122" s="17"/>
    </row>
    <row r="123" spans="1:14" x14ac:dyDescent="0.3">
      <c r="A123" s="20" t="str">
        <f t="shared" si="12"/>
        <v/>
      </c>
      <c r="B123" s="17"/>
      <c r="C123" s="17"/>
      <c r="D123" s="17"/>
      <c r="E123" s="17"/>
      <c r="F123" s="30"/>
      <c r="G123" s="30"/>
      <c r="H123" s="20" t="str">
        <f t="shared" si="13"/>
        <v/>
      </c>
      <c r="I123" s="31"/>
      <c r="J123" s="17"/>
      <c r="K123" s="20" t="str">
        <f t="shared" ca="1" si="14"/>
        <v/>
      </c>
      <c r="L123" s="20" t="str">
        <f t="shared" ca="1" si="15"/>
        <v/>
      </c>
      <c r="M123" s="17"/>
      <c r="N123" s="17"/>
    </row>
    <row r="124" spans="1:14" x14ac:dyDescent="0.3">
      <c r="A124" s="26" t="str">
        <f t="shared" si="12"/>
        <v/>
      </c>
      <c r="B124" s="17"/>
      <c r="C124" s="17"/>
      <c r="D124" s="17"/>
      <c r="E124" s="17"/>
      <c r="F124" s="30"/>
      <c r="G124" s="30"/>
      <c r="H124" s="26" t="str">
        <f t="shared" si="13"/>
        <v/>
      </c>
      <c r="I124" s="31"/>
      <c r="J124" s="17"/>
      <c r="K124" s="26" t="str">
        <f t="shared" ca="1" si="14"/>
        <v/>
      </c>
      <c r="L124" s="26" t="str">
        <f t="shared" ca="1" si="15"/>
        <v/>
      </c>
      <c r="M124" s="17"/>
      <c r="N124" s="17"/>
    </row>
    <row r="125" spans="1:14" x14ac:dyDescent="0.3">
      <c r="A125" s="20" t="str">
        <f t="shared" si="12"/>
        <v/>
      </c>
      <c r="B125" s="17"/>
      <c r="C125" s="17"/>
      <c r="D125" s="17"/>
      <c r="E125" s="17"/>
      <c r="F125" s="30"/>
      <c r="G125" s="30"/>
      <c r="H125" s="20" t="str">
        <f t="shared" si="13"/>
        <v/>
      </c>
      <c r="I125" s="31"/>
      <c r="J125" s="17"/>
      <c r="K125" s="20" t="str">
        <f t="shared" ca="1" si="14"/>
        <v/>
      </c>
      <c r="L125" s="20" t="str">
        <f t="shared" ca="1" si="15"/>
        <v/>
      </c>
      <c r="M125" s="17"/>
      <c r="N125" s="17"/>
    </row>
    <row r="126" spans="1:14" x14ac:dyDescent="0.3">
      <c r="A126" s="26" t="str">
        <f t="shared" si="12"/>
        <v/>
      </c>
      <c r="B126" s="17"/>
      <c r="C126" s="17"/>
      <c r="D126" s="17"/>
      <c r="E126" s="17"/>
      <c r="F126" s="30"/>
      <c r="G126" s="30"/>
      <c r="H126" s="26" t="str">
        <f t="shared" si="13"/>
        <v/>
      </c>
      <c r="I126" s="31"/>
      <c r="J126" s="17"/>
      <c r="K126" s="26" t="str">
        <f t="shared" ca="1" si="14"/>
        <v/>
      </c>
      <c r="L126" s="26" t="str">
        <f t="shared" ca="1" si="15"/>
        <v/>
      </c>
      <c r="M126" s="17"/>
      <c r="N126" s="17"/>
    </row>
  </sheetData>
  <autoFilter ref="A6:N126" xr:uid="{00000000-0009-0000-0000-000003000000}"/>
  <mergeCells count="3">
    <mergeCell ref="A1:N1"/>
    <mergeCell ref="A2:N2"/>
    <mergeCell ref="A3:N3"/>
  </mergeCells>
  <conditionalFormatting sqref="I7:I126">
    <cfRule type="colorScale" priority="8">
      <colorScale>
        <cfvo type="num" val="0"/>
        <cfvo type="num" val="0.5"/>
        <cfvo type="num" val="1"/>
        <color rgb="FFF7E4E2"/>
        <color rgb="FFFBEEDF"/>
        <color rgb="FFE3F0E7"/>
      </colorScale>
    </cfRule>
  </conditionalFormatting>
  <conditionalFormatting sqref="L7:L126">
    <cfRule type="cellIs" dxfId="18" priority="2" operator="equal">
      <formula>"Vencida"</formula>
    </cfRule>
    <cfRule type="cellIs" dxfId="17" priority="3" operator="equal">
      <formula>"Por vencer"</formula>
    </cfRule>
    <cfRule type="cellIs" dxfId="16" priority="4" operator="equal">
      <formula>"En tiempo"</formula>
    </cfRule>
    <cfRule type="cellIs" dxfId="15" priority="5" operator="equal">
      <formula>"Completada"</formula>
    </cfRule>
    <cfRule type="cellIs" dxfId="14" priority="6" operator="equal">
      <formula>"Bloqueada"</formula>
    </cfRule>
    <cfRule type="cellIs" dxfId="13" priority="7" operator="equal">
      <formula>"Cancelada"</formula>
    </cfRule>
  </conditionalFormatting>
  <dataValidations count="1">
    <dataValidation type="decimal" allowBlank="1" errorTitle="Valor fuera de rango" error="Captura el avance como porcentaje entre 0% y 100%." sqref="I7:I126" xr:uid="{00000000-0002-0000-0300-000004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Listas!$D$7:$D$30</xm:f>
          </x14:formula1>
          <x14:formula2>
            <xm:f>0</xm:f>
          </x14:formula2>
          <xm:sqref>B7:B126</xm:sqref>
        </x14:dataValidation>
        <x14:dataValidation type="list" allowBlank="1" xr:uid="{00000000-0002-0000-0300-000001000000}">
          <x14:formula1>
            <xm:f>Listas!$E$7:$E$30</xm:f>
          </x14:formula1>
          <x14:formula2>
            <xm:f>0</xm:f>
          </x14:formula2>
          <xm:sqref>D7:D126</xm:sqref>
        </x14:dataValidation>
        <x14:dataValidation type="list" allowBlank="1" xr:uid="{00000000-0002-0000-0300-000002000000}">
          <x14:formula1>
            <xm:f>Listas!$B$7:$B$30</xm:f>
          </x14:formula1>
          <x14:formula2>
            <xm:f>0</xm:f>
          </x14:formula2>
          <xm:sqref>E7:E126</xm:sqref>
        </x14:dataValidation>
        <x14:dataValidation type="list" allowBlank="1" xr:uid="{00000000-0002-0000-0300-000003000000}">
          <x14:formula1>
            <xm:f>Listas!$A$7:$A$30</xm:f>
          </x14:formula1>
          <x14:formula2>
            <xm:f>0</xm:f>
          </x14:formula2>
          <xm:sqref>J7:J126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4150"/>
  </sheetPr>
  <dimension ref="A1:AE129"/>
  <sheetViews>
    <sheetView showGridLines="0"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6640625" defaultRowHeight="14.4" x14ac:dyDescent="0.3"/>
  <cols>
    <col min="1" max="1" width="6" customWidth="1"/>
    <col min="2" max="2" width="40" customWidth="1"/>
    <col min="3" max="3" width="16" customWidth="1"/>
    <col min="4" max="5" width="11" customWidth="1"/>
    <col min="6" max="31" width="3.5546875" customWidth="1"/>
  </cols>
  <sheetData>
    <row r="1" spans="1:31" ht="25.5" customHeight="1" x14ac:dyDescent="0.3">
      <c r="A1" s="4" t="s">
        <v>139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5" customHeight="1" x14ac:dyDescent="0.3">
      <c r="A2" s="3" t="s">
        <v>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7.5" customHeight="1" x14ac:dyDescent="0.3"/>
    <row r="5" spans="1:31" x14ac:dyDescent="0.3">
      <c r="A5" s="57" t="s">
        <v>141</v>
      </c>
      <c r="B5" s="57"/>
      <c r="C5" s="32">
        <v>46230</v>
      </c>
    </row>
    <row r="7" spans="1:31" ht="42" customHeight="1" x14ac:dyDescent="0.3">
      <c r="A7" s="22" t="s">
        <v>120</v>
      </c>
      <c r="B7" s="22" t="s">
        <v>142</v>
      </c>
      <c r="C7" s="22" t="s">
        <v>122</v>
      </c>
      <c r="D7" s="22" t="s">
        <v>80</v>
      </c>
      <c r="E7" s="22" t="s">
        <v>143</v>
      </c>
      <c r="F7" s="33">
        <f>$C$5+0</f>
        <v>46230</v>
      </c>
      <c r="G7" s="33">
        <f>$C$5+7</f>
        <v>46237</v>
      </c>
      <c r="H7" s="33">
        <f>$C$5+14</f>
        <v>46244</v>
      </c>
      <c r="I7" s="33">
        <f>$C$5+21</f>
        <v>46251</v>
      </c>
      <c r="J7" s="33">
        <f>$C$5+28</f>
        <v>46258</v>
      </c>
      <c r="K7" s="33">
        <f>$C$5+35</f>
        <v>46265</v>
      </c>
      <c r="L7" s="33">
        <f>$C$5+42</f>
        <v>46272</v>
      </c>
      <c r="M7" s="33">
        <f>$C$5+49</f>
        <v>46279</v>
      </c>
      <c r="N7" s="33">
        <f>$C$5+56</f>
        <v>46286</v>
      </c>
      <c r="O7" s="33">
        <f>$C$5+63</f>
        <v>46293</v>
      </c>
      <c r="P7" s="33">
        <f>$C$5+70</f>
        <v>46300</v>
      </c>
      <c r="Q7" s="33">
        <f>$C$5+77</f>
        <v>46307</v>
      </c>
      <c r="R7" s="33">
        <f>$C$5+84</f>
        <v>46314</v>
      </c>
      <c r="S7" s="33">
        <f>$C$5+91</f>
        <v>46321</v>
      </c>
      <c r="T7" s="33">
        <f>$C$5+98</f>
        <v>46328</v>
      </c>
      <c r="U7" s="33">
        <f>$C$5+105</f>
        <v>46335</v>
      </c>
      <c r="V7" s="33">
        <f>$C$5+112</f>
        <v>46342</v>
      </c>
      <c r="W7" s="33">
        <f>$C$5+119</f>
        <v>46349</v>
      </c>
      <c r="X7" s="33">
        <f>$C$5+126</f>
        <v>46356</v>
      </c>
      <c r="Y7" s="33">
        <f>$C$5+133</f>
        <v>46363</v>
      </c>
      <c r="Z7" s="33">
        <f>$C$5+140</f>
        <v>46370</v>
      </c>
      <c r="AA7" s="33">
        <f>$C$5+147</f>
        <v>46377</v>
      </c>
      <c r="AB7" s="33">
        <f>$C$5+154</f>
        <v>46384</v>
      </c>
      <c r="AC7" s="33">
        <f>$C$5+161</f>
        <v>46391</v>
      </c>
      <c r="AD7" s="33">
        <f>$C$5+168</f>
        <v>46398</v>
      </c>
      <c r="AE7" s="33">
        <f>$C$5+175</f>
        <v>46405</v>
      </c>
    </row>
    <row r="8" spans="1:31" ht="15" customHeight="1" x14ac:dyDescent="0.3">
      <c r="A8" s="34">
        <f>IF('Plan de Tareas'!$C7="","",'Plan de Tareas'!$A7)</f>
        <v>1</v>
      </c>
      <c r="B8" s="20" t="str">
        <f>IF('Plan de Tareas'!$C7="","",'Plan de Tareas'!$C7)</f>
        <v>Levantamiento de requerimientos con negocio</v>
      </c>
      <c r="C8" s="20" t="str">
        <f>IF('Plan de Tareas'!$C7="","",'Plan de Tareas'!$D7)</f>
        <v>Jesús González</v>
      </c>
      <c r="D8" s="35">
        <f>IF('Plan de Tareas'!$F7="","",'Plan de Tareas'!$F7)</f>
        <v>46234</v>
      </c>
      <c r="E8" s="35">
        <f>IF('Plan de Tareas'!$G7="","",'Plan de Tareas'!$G7)</f>
        <v>46244</v>
      </c>
      <c r="F8" s="36">
        <f>IF(OR($D8="",$E8=""),"",IF(AND($D8&lt;=F$7+6,$E8&gt;=F$7),IF('Plan de Tareas'!$J7="Completada",2,1),""))</f>
        <v>1</v>
      </c>
      <c r="G8" s="36">
        <f>IF(OR($D8="",$E8=""),"",IF(AND($D8&lt;=G$7+6,$E8&gt;=G$7),IF('Plan de Tareas'!$J7="Completada",2,1),""))</f>
        <v>1</v>
      </c>
      <c r="H8" s="36">
        <f>IF(OR($D8="",$E8=""),"",IF(AND($D8&lt;=H$7+6,$E8&gt;=H$7),IF('Plan de Tareas'!$J7="Completada",2,1),""))</f>
        <v>1</v>
      </c>
      <c r="I8" s="36" t="str">
        <f>IF(OR($D8="",$E8=""),"",IF(AND($D8&lt;=I$7+6,$E8&gt;=I$7),IF('Plan de Tareas'!$J7="Completada",2,1),""))</f>
        <v/>
      </c>
      <c r="J8" s="36" t="str">
        <f>IF(OR($D8="",$E8=""),"",IF(AND($D8&lt;=J$7+6,$E8&gt;=J$7),IF('Plan de Tareas'!$J7="Completada",2,1),""))</f>
        <v/>
      </c>
      <c r="K8" s="36" t="str">
        <f>IF(OR($D8="",$E8=""),"",IF(AND($D8&lt;=K$7+6,$E8&gt;=K$7),IF('Plan de Tareas'!$J7="Completada",2,1),""))</f>
        <v/>
      </c>
      <c r="L8" s="36" t="str">
        <f>IF(OR($D8="",$E8=""),"",IF(AND($D8&lt;=L$7+6,$E8&gt;=L$7),IF('Plan de Tareas'!$J7="Completada",2,1),""))</f>
        <v/>
      </c>
      <c r="M8" s="36" t="str">
        <f>IF(OR($D8="",$E8=""),"",IF(AND($D8&lt;=M$7+6,$E8&gt;=M$7),IF('Plan de Tareas'!$J7="Completada",2,1),""))</f>
        <v/>
      </c>
      <c r="N8" s="36" t="str">
        <f>IF(OR($D8="",$E8=""),"",IF(AND($D8&lt;=N$7+6,$E8&gt;=N$7),IF('Plan de Tareas'!$J7="Completada",2,1),""))</f>
        <v/>
      </c>
      <c r="O8" s="36" t="str">
        <f>IF(OR($D8="",$E8=""),"",IF(AND($D8&lt;=O$7+6,$E8&gt;=O$7),IF('Plan de Tareas'!$J7="Completada",2,1),""))</f>
        <v/>
      </c>
      <c r="P8" s="36" t="str">
        <f>IF(OR($D8="",$E8=""),"",IF(AND($D8&lt;=P$7+6,$E8&gt;=P$7),IF('Plan de Tareas'!$J7="Completada",2,1),""))</f>
        <v/>
      </c>
      <c r="Q8" s="36" t="str">
        <f>IF(OR($D8="",$E8=""),"",IF(AND($D8&lt;=Q$7+6,$E8&gt;=Q$7),IF('Plan de Tareas'!$J7="Completada",2,1),""))</f>
        <v/>
      </c>
      <c r="R8" s="36" t="str">
        <f>IF(OR($D8="",$E8=""),"",IF(AND($D8&lt;=R$7+6,$E8&gt;=R$7),IF('Plan de Tareas'!$J7="Completada",2,1),""))</f>
        <v/>
      </c>
      <c r="S8" s="36" t="str">
        <f>IF(OR($D8="",$E8=""),"",IF(AND($D8&lt;=S$7+6,$E8&gt;=S$7),IF('Plan de Tareas'!$J7="Completada",2,1),""))</f>
        <v/>
      </c>
      <c r="T8" s="36" t="str">
        <f>IF(OR($D8="",$E8=""),"",IF(AND($D8&lt;=T$7+6,$E8&gt;=T$7),IF('Plan de Tareas'!$J7="Completada",2,1),""))</f>
        <v/>
      </c>
      <c r="U8" s="36" t="str">
        <f>IF(OR($D8="",$E8=""),"",IF(AND($D8&lt;=U$7+6,$E8&gt;=U$7),IF('Plan de Tareas'!$J7="Completada",2,1),""))</f>
        <v/>
      </c>
      <c r="V8" s="36" t="str">
        <f>IF(OR($D8="",$E8=""),"",IF(AND($D8&lt;=V$7+6,$E8&gt;=V$7),IF('Plan de Tareas'!$J7="Completada",2,1),""))</f>
        <v/>
      </c>
      <c r="W8" s="36" t="str">
        <f>IF(OR($D8="",$E8=""),"",IF(AND($D8&lt;=W$7+6,$E8&gt;=W$7),IF('Plan de Tareas'!$J7="Completada",2,1),""))</f>
        <v/>
      </c>
      <c r="X8" s="36" t="str">
        <f>IF(OR($D8="",$E8=""),"",IF(AND($D8&lt;=X$7+6,$E8&gt;=X$7),IF('Plan de Tareas'!$J7="Completada",2,1),""))</f>
        <v/>
      </c>
      <c r="Y8" s="36" t="str">
        <f>IF(OR($D8="",$E8=""),"",IF(AND($D8&lt;=Y$7+6,$E8&gt;=Y$7),IF('Plan de Tareas'!$J7="Completada",2,1),""))</f>
        <v/>
      </c>
      <c r="Z8" s="36" t="str">
        <f>IF(OR($D8="",$E8=""),"",IF(AND($D8&lt;=Z$7+6,$E8&gt;=Z$7),IF('Plan de Tareas'!$J7="Completada",2,1),""))</f>
        <v/>
      </c>
      <c r="AA8" s="36" t="str">
        <f>IF(OR($D8="",$E8=""),"",IF(AND($D8&lt;=AA$7+6,$E8&gt;=AA$7),IF('Plan de Tareas'!$J7="Completada",2,1),""))</f>
        <v/>
      </c>
      <c r="AB8" s="36" t="str">
        <f>IF(OR($D8="",$E8=""),"",IF(AND($D8&lt;=AB$7+6,$E8&gt;=AB$7),IF('Plan de Tareas'!$J7="Completada",2,1),""))</f>
        <v/>
      </c>
      <c r="AC8" s="36" t="str">
        <f>IF(OR($D8="",$E8=""),"",IF(AND($D8&lt;=AC$7+6,$E8&gt;=AC$7),IF('Plan de Tareas'!$J7="Completada",2,1),""))</f>
        <v/>
      </c>
      <c r="AD8" s="36" t="str">
        <f>IF(OR($D8="",$E8=""),"",IF(AND($D8&lt;=AD$7+6,$E8&gt;=AD$7),IF('Plan de Tareas'!$J7="Completada",2,1),""))</f>
        <v/>
      </c>
      <c r="AE8" s="36" t="str">
        <f>IF(OR($D8="",$E8=""),"",IF(AND($D8&lt;=AE$7+6,$E8&gt;=AE$7),IF('Plan de Tareas'!$J7="Completada",2,1),""))</f>
        <v/>
      </c>
    </row>
    <row r="9" spans="1:31" ht="15" customHeight="1" x14ac:dyDescent="0.3">
      <c r="A9" s="37">
        <f>IF('Plan de Tareas'!$C8="","",'Plan de Tareas'!$A8)</f>
        <v>2</v>
      </c>
      <c r="B9" s="26" t="str">
        <f>IF('Plan de Tareas'!$C8="","",'Plan de Tareas'!$C8)</f>
        <v>Diseño del modelo de datos</v>
      </c>
      <c r="C9" s="26" t="str">
        <f>IF('Plan de Tareas'!$C8="","",'Plan de Tareas'!$D8)</f>
        <v>Recurso 2</v>
      </c>
      <c r="D9" s="38">
        <f>IF('Plan de Tareas'!$F8="","",'Plan de Tareas'!$F8)</f>
        <v>46245</v>
      </c>
      <c r="E9" s="38">
        <f>IF('Plan de Tareas'!$G8="","",'Plan de Tareas'!$G8)</f>
        <v>46259</v>
      </c>
      <c r="F9" s="36" t="str">
        <f>IF(OR($D9="",$E9=""),"",IF(AND($D9&lt;=F$7+6,$E9&gt;=F$7),IF('Plan de Tareas'!$J8="Completada",2,1),""))</f>
        <v/>
      </c>
      <c r="G9" s="36" t="str">
        <f>IF(OR($D9="",$E9=""),"",IF(AND($D9&lt;=G$7+6,$E9&gt;=G$7),IF('Plan de Tareas'!$J8="Completada",2,1),""))</f>
        <v/>
      </c>
      <c r="H9" s="36">
        <f>IF(OR($D9="",$E9=""),"",IF(AND($D9&lt;=H$7+6,$E9&gt;=H$7),IF('Plan de Tareas'!$J8="Completada",2,1),""))</f>
        <v>1</v>
      </c>
      <c r="I9" s="36">
        <f>IF(OR($D9="",$E9=""),"",IF(AND($D9&lt;=I$7+6,$E9&gt;=I$7),IF('Plan de Tareas'!$J8="Completada",2,1),""))</f>
        <v>1</v>
      </c>
      <c r="J9" s="36">
        <f>IF(OR($D9="",$E9=""),"",IF(AND($D9&lt;=J$7+6,$E9&gt;=J$7),IF('Plan de Tareas'!$J8="Completada",2,1),""))</f>
        <v>1</v>
      </c>
      <c r="K9" s="36" t="str">
        <f>IF(OR($D9="",$E9=""),"",IF(AND($D9&lt;=K$7+6,$E9&gt;=K$7),IF('Plan de Tareas'!$J8="Completada",2,1),""))</f>
        <v/>
      </c>
      <c r="L9" s="36" t="str">
        <f>IF(OR($D9="",$E9=""),"",IF(AND($D9&lt;=L$7+6,$E9&gt;=L$7),IF('Plan de Tareas'!$J8="Completada",2,1),""))</f>
        <v/>
      </c>
      <c r="M9" s="36" t="str">
        <f>IF(OR($D9="",$E9=""),"",IF(AND($D9&lt;=M$7+6,$E9&gt;=M$7),IF('Plan de Tareas'!$J8="Completada",2,1),""))</f>
        <v/>
      </c>
      <c r="N9" s="36" t="str">
        <f>IF(OR($D9="",$E9=""),"",IF(AND($D9&lt;=N$7+6,$E9&gt;=N$7),IF('Plan de Tareas'!$J8="Completada",2,1),""))</f>
        <v/>
      </c>
      <c r="O9" s="36" t="str">
        <f>IF(OR($D9="",$E9=""),"",IF(AND($D9&lt;=O$7+6,$E9&gt;=O$7),IF('Plan de Tareas'!$J8="Completada",2,1),""))</f>
        <v/>
      </c>
      <c r="P9" s="36" t="str">
        <f>IF(OR($D9="",$E9=""),"",IF(AND($D9&lt;=P$7+6,$E9&gt;=P$7),IF('Plan de Tareas'!$J8="Completada",2,1),""))</f>
        <v/>
      </c>
      <c r="Q9" s="36" t="str">
        <f>IF(OR($D9="",$E9=""),"",IF(AND($D9&lt;=Q$7+6,$E9&gt;=Q$7),IF('Plan de Tareas'!$J8="Completada",2,1),""))</f>
        <v/>
      </c>
      <c r="R9" s="36" t="str">
        <f>IF(OR($D9="",$E9=""),"",IF(AND($D9&lt;=R$7+6,$E9&gt;=R$7),IF('Plan de Tareas'!$J8="Completada",2,1),""))</f>
        <v/>
      </c>
      <c r="S9" s="36" t="str">
        <f>IF(OR($D9="",$E9=""),"",IF(AND($D9&lt;=S$7+6,$E9&gt;=S$7),IF('Plan de Tareas'!$J8="Completada",2,1),""))</f>
        <v/>
      </c>
      <c r="T9" s="36" t="str">
        <f>IF(OR($D9="",$E9=""),"",IF(AND($D9&lt;=T$7+6,$E9&gt;=T$7),IF('Plan de Tareas'!$J8="Completada",2,1),""))</f>
        <v/>
      </c>
      <c r="U9" s="36" t="str">
        <f>IF(OR($D9="",$E9=""),"",IF(AND($D9&lt;=U$7+6,$E9&gt;=U$7),IF('Plan de Tareas'!$J8="Completada",2,1),""))</f>
        <v/>
      </c>
      <c r="V9" s="36" t="str">
        <f>IF(OR($D9="",$E9=""),"",IF(AND($D9&lt;=V$7+6,$E9&gt;=V$7),IF('Plan de Tareas'!$J8="Completada",2,1),""))</f>
        <v/>
      </c>
      <c r="W9" s="36" t="str">
        <f>IF(OR($D9="",$E9=""),"",IF(AND($D9&lt;=W$7+6,$E9&gt;=W$7),IF('Plan de Tareas'!$J8="Completada",2,1),""))</f>
        <v/>
      </c>
      <c r="X9" s="36" t="str">
        <f>IF(OR($D9="",$E9=""),"",IF(AND($D9&lt;=X$7+6,$E9&gt;=X$7),IF('Plan de Tareas'!$J8="Completada",2,1),""))</f>
        <v/>
      </c>
      <c r="Y9" s="36" t="str">
        <f>IF(OR($D9="",$E9=""),"",IF(AND($D9&lt;=Y$7+6,$E9&gt;=Y$7),IF('Plan de Tareas'!$J8="Completada",2,1),""))</f>
        <v/>
      </c>
      <c r="Z9" s="36" t="str">
        <f>IF(OR($D9="",$E9=""),"",IF(AND($D9&lt;=Z$7+6,$E9&gt;=Z$7),IF('Plan de Tareas'!$J8="Completada",2,1),""))</f>
        <v/>
      </c>
      <c r="AA9" s="36" t="str">
        <f>IF(OR($D9="",$E9=""),"",IF(AND($D9&lt;=AA$7+6,$E9&gt;=AA$7),IF('Plan de Tareas'!$J8="Completada",2,1),""))</f>
        <v/>
      </c>
      <c r="AB9" s="36" t="str">
        <f>IF(OR($D9="",$E9=""),"",IF(AND($D9&lt;=AB$7+6,$E9&gt;=AB$7),IF('Plan de Tareas'!$J8="Completada",2,1),""))</f>
        <v/>
      </c>
      <c r="AC9" s="36" t="str">
        <f>IF(OR($D9="",$E9=""),"",IF(AND($D9&lt;=AC$7+6,$E9&gt;=AC$7),IF('Plan de Tareas'!$J8="Completada",2,1),""))</f>
        <v/>
      </c>
      <c r="AD9" s="36" t="str">
        <f>IF(OR($D9="",$E9=""),"",IF(AND($D9&lt;=AD$7+6,$E9&gt;=AD$7),IF('Plan de Tareas'!$J8="Completada",2,1),""))</f>
        <v/>
      </c>
      <c r="AE9" s="36" t="str">
        <f>IF(OR($D9="",$E9=""),"",IF(AND($D9&lt;=AE$7+6,$E9&gt;=AE$7),IF('Plan de Tareas'!$J8="Completada",2,1),""))</f>
        <v/>
      </c>
    </row>
    <row r="10" spans="1:31" ht="15" customHeight="1" x14ac:dyDescent="0.3">
      <c r="A10" s="34" t="str">
        <f>IF('Plan de Tareas'!$C9="","",'Plan de Tareas'!$A9)</f>
        <v/>
      </c>
      <c r="B10" s="20" t="str">
        <f>IF('Plan de Tareas'!$C9="","",'Plan de Tareas'!$C9)</f>
        <v/>
      </c>
      <c r="C10" s="20" t="str">
        <f>IF('Plan de Tareas'!$C9="","",'Plan de Tareas'!$D9)</f>
        <v/>
      </c>
      <c r="D10" s="35" t="str">
        <f>IF('Plan de Tareas'!$F9="","",'Plan de Tareas'!$F9)</f>
        <v/>
      </c>
      <c r="E10" s="35" t="str">
        <f>IF('Plan de Tareas'!$G9="","",'Plan de Tareas'!$G9)</f>
        <v/>
      </c>
      <c r="F10" s="36" t="str">
        <f>IF(OR($D10="",$E10=""),"",IF(AND($D10&lt;=F$7+6,$E10&gt;=F$7),IF('Plan de Tareas'!$J9="Completada",2,1),""))</f>
        <v/>
      </c>
      <c r="G10" s="36" t="str">
        <f>IF(OR($D10="",$E10=""),"",IF(AND($D10&lt;=G$7+6,$E10&gt;=G$7),IF('Plan de Tareas'!$J9="Completada",2,1),""))</f>
        <v/>
      </c>
      <c r="H10" s="36" t="str">
        <f>IF(OR($D10="",$E10=""),"",IF(AND($D10&lt;=H$7+6,$E10&gt;=H$7),IF('Plan de Tareas'!$J9="Completada",2,1),""))</f>
        <v/>
      </c>
      <c r="I10" s="36" t="str">
        <f>IF(OR($D10="",$E10=""),"",IF(AND($D10&lt;=I$7+6,$E10&gt;=I$7),IF('Plan de Tareas'!$J9="Completada",2,1),""))</f>
        <v/>
      </c>
      <c r="J10" s="36" t="str">
        <f>IF(OR($D10="",$E10=""),"",IF(AND($D10&lt;=J$7+6,$E10&gt;=J$7),IF('Plan de Tareas'!$J9="Completada",2,1),""))</f>
        <v/>
      </c>
      <c r="K10" s="36" t="str">
        <f>IF(OR($D10="",$E10=""),"",IF(AND($D10&lt;=K$7+6,$E10&gt;=K$7),IF('Plan de Tareas'!$J9="Completada",2,1),""))</f>
        <v/>
      </c>
      <c r="L10" s="36" t="str">
        <f>IF(OR($D10="",$E10=""),"",IF(AND($D10&lt;=L$7+6,$E10&gt;=L$7),IF('Plan de Tareas'!$J9="Completada",2,1),""))</f>
        <v/>
      </c>
      <c r="M10" s="36" t="str">
        <f>IF(OR($D10="",$E10=""),"",IF(AND($D10&lt;=M$7+6,$E10&gt;=M$7),IF('Plan de Tareas'!$J9="Completada",2,1),""))</f>
        <v/>
      </c>
      <c r="N10" s="36" t="str">
        <f>IF(OR($D10="",$E10=""),"",IF(AND($D10&lt;=N$7+6,$E10&gt;=N$7),IF('Plan de Tareas'!$J9="Completada",2,1),""))</f>
        <v/>
      </c>
      <c r="O10" s="36" t="str">
        <f>IF(OR($D10="",$E10=""),"",IF(AND($D10&lt;=O$7+6,$E10&gt;=O$7),IF('Plan de Tareas'!$J9="Completada",2,1),""))</f>
        <v/>
      </c>
      <c r="P10" s="36" t="str">
        <f>IF(OR($D10="",$E10=""),"",IF(AND($D10&lt;=P$7+6,$E10&gt;=P$7),IF('Plan de Tareas'!$J9="Completada",2,1),""))</f>
        <v/>
      </c>
      <c r="Q10" s="36" t="str">
        <f>IF(OR($D10="",$E10=""),"",IF(AND($D10&lt;=Q$7+6,$E10&gt;=Q$7),IF('Plan de Tareas'!$J9="Completada",2,1),""))</f>
        <v/>
      </c>
      <c r="R10" s="36" t="str">
        <f>IF(OR($D10="",$E10=""),"",IF(AND($D10&lt;=R$7+6,$E10&gt;=R$7),IF('Plan de Tareas'!$J9="Completada",2,1),""))</f>
        <v/>
      </c>
      <c r="S10" s="36" t="str">
        <f>IF(OR($D10="",$E10=""),"",IF(AND($D10&lt;=S$7+6,$E10&gt;=S$7),IF('Plan de Tareas'!$J9="Completada",2,1),""))</f>
        <v/>
      </c>
      <c r="T10" s="36" t="str">
        <f>IF(OR($D10="",$E10=""),"",IF(AND($D10&lt;=T$7+6,$E10&gt;=T$7),IF('Plan de Tareas'!$J9="Completada",2,1),""))</f>
        <v/>
      </c>
      <c r="U10" s="36" t="str">
        <f>IF(OR($D10="",$E10=""),"",IF(AND($D10&lt;=U$7+6,$E10&gt;=U$7),IF('Plan de Tareas'!$J9="Completada",2,1),""))</f>
        <v/>
      </c>
      <c r="V10" s="36" t="str">
        <f>IF(OR($D10="",$E10=""),"",IF(AND($D10&lt;=V$7+6,$E10&gt;=V$7),IF('Plan de Tareas'!$J9="Completada",2,1),""))</f>
        <v/>
      </c>
      <c r="W10" s="36" t="str">
        <f>IF(OR($D10="",$E10=""),"",IF(AND($D10&lt;=W$7+6,$E10&gt;=W$7),IF('Plan de Tareas'!$J9="Completada",2,1),""))</f>
        <v/>
      </c>
      <c r="X10" s="36" t="str">
        <f>IF(OR($D10="",$E10=""),"",IF(AND($D10&lt;=X$7+6,$E10&gt;=X$7),IF('Plan de Tareas'!$J9="Completada",2,1),""))</f>
        <v/>
      </c>
      <c r="Y10" s="36" t="str">
        <f>IF(OR($D10="",$E10=""),"",IF(AND($D10&lt;=Y$7+6,$E10&gt;=Y$7),IF('Plan de Tareas'!$J9="Completada",2,1),""))</f>
        <v/>
      </c>
      <c r="Z10" s="36" t="str">
        <f>IF(OR($D10="",$E10=""),"",IF(AND($D10&lt;=Z$7+6,$E10&gt;=Z$7),IF('Plan de Tareas'!$J9="Completada",2,1),""))</f>
        <v/>
      </c>
      <c r="AA10" s="36" t="str">
        <f>IF(OR($D10="",$E10=""),"",IF(AND($D10&lt;=AA$7+6,$E10&gt;=AA$7),IF('Plan de Tareas'!$J9="Completada",2,1),""))</f>
        <v/>
      </c>
      <c r="AB10" s="36" t="str">
        <f>IF(OR($D10="",$E10=""),"",IF(AND($D10&lt;=AB$7+6,$E10&gt;=AB$7),IF('Plan de Tareas'!$J9="Completada",2,1),""))</f>
        <v/>
      </c>
      <c r="AC10" s="36" t="str">
        <f>IF(OR($D10="",$E10=""),"",IF(AND($D10&lt;=AC$7+6,$E10&gt;=AC$7),IF('Plan de Tareas'!$J9="Completada",2,1),""))</f>
        <v/>
      </c>
      <c r="AD10" s="36" t="str">
        <f>IF(OR($D10="",$E10=""),"",IF(AND($D10&lt;=AD$7+6,$E10&gt;=AD$7),IF('Plan de Tareas'!$J9="Completada",2,1),""))</f>
        <v/>
      </c>
      <c r="AE10" s="36" t="str">
        <f>IF(OR($D10="",$E10=""),"",IF(AND($D10&lt;=AE$7+6,$E10&gt;=AE$7),IF('Plan de Tareas'!$J9="Completada",2,1),""))</f>
        <v/>
      </c>
    </row>
    <row r="11" spans="1:31" ht="15" customHeight="1" x14ac:dyDescent="0.3">
      <c r="A11" s="37" t="str">
        <f>IF('Plan de Tareas'!$C10="","",'Plan de Tareas'!$A10)</f>
        <v/>
      </c>
      <c r="B11" s="26" t="str">
        <f>IF('Plan de Tareas'!$C10="","",'Plan de Tareas'!$C10)</f>
        <v/>
      </c>
      <c r="C11" s="26" t="str">
        <f>IF('Plan de Tareas'!$C10="","",'Plan de Tareas'!$D10)</f>
        <v/>
      </c>
      <c r="D11" s="38" t="str">
        <f>IF('Plan de Tareas'!$F10="","",'Plan de Tareas'!$F10)</f>
        <v/>
      </c>
      <c r="E11" s="38" t="str">
        <f>IF('Plan de Tareas'!$G10="","",'Plan de Tareas'!$G10)</f>
        <v/>
      </c>
      <c r="F11" s="36" t="str">
        <f>IF(OR($D11="",$E11=""),"",IF(AND($D11&lt;=F$7+6,$E11&gt;=F$7),IF('Plan de Tareas'!$J10="Completada",2,1),""))</f>
        <v/>
      </c>
      <c r="G11" s="36" t="str">
        <f>IF(OR($D11="",$E11=""),"",IF(AND($D11&lt;=G$7+6,$E11&gt;=G$7),IF('Plan de Tareas'!$J10="Completada",2,1),""))</f>
        <v/>
      </c>
      <c r="H11" s="36" t="str">
        <f>IF(OR($D11="",$E11=""),"",IF(AND($D11&lt;=H$7+6,$E11&gt;=H$7),IF('Plan de Tareas'!$J10="Completada",2,1),""))</f>
        <v/>
      </c>
      <c r="I11" s="36" t="str">
        <f>IF(OR($D11="",$E11=""),"",IF(AND($D11&lt;=I$7+6,$E11&gt;=I$7),IF('Plan de Tareas'!$J10="Completada",2,1),""))</f>
        <v/>
      </c>
      <c r="J11" s="36" t="str">
        <f>IF(OR($D11="",$E11=""),"",IF(AND($D11&lt;=J$7+6,$E11&gt;=J$7),IF('Plan de Tareas'!$J10="Completada",2,1),""))</f>
        <v/>
      </c>
      <c r="K11" s="36" t="str">
        <f>IF(OR($D11="",$E11=""),"",IF(AND($D11&lt;=K$7+6,$E11&gt;=K$7),IF('Plan de Tareas'!$J10="Completada",2,1),""))</f>
        <v/>
      </c>
      <c r="L11" s="36" t="str">
        <f>IF(OR($D11="",$E11=""),"",IF(AND($D11&lt;=L$7+6,$E11&gt;=L$7),IF('Plan de Tareas'!$J10="Completada",2,1),""))</f>
        <v/>
      </c>
      <c r="M11" s="36" t="str">
        <f>IF(OR($D11="",$E11=""),"",IF(AND($D11&lt;=M$7+6,$E11&gt;=M$7),IF('Plan de Tareas'!$J10="Completada",2,1),""))</f>
        <v/>
      </c>
      <c r="N11" s="36" t="str">
        <f>IF(OR($D11="",$E11=""),"",IF(AND($D11&lt;=N$7+6,$E11&gt;=N$7),IF('Plan de Tareas'!$J10="Completada",2,1),""))</f>
        <v/>
      </c>
      <c r="O11" s="36" t="str">
        <f>IF(OR($D11="",$E11=""),"",IF(AND($D11&lt;=O$7+6,$E11&gt;=O$7),IF('Plan de Tareas'!$J10="Completada",2,1),""))</f>
        <v/>
      </c>
      <c r="P11" s="36" t="str">
        <f>IF(OR($D11="",$E11=""),"",IF(AND($D11&lt;=P$7+6,$E11&gt;=P$7),IF('Plan de Tareas'!$J10="Completada",2,1),""))</f>
        <v/>
      </c>
      <c r="Q11" s="36" t="str">
        <f>IF(OR($D11="",$E11=""),"",IF(AND($D11&lt;=Q$7+6,$E11&gt;=Q$7),IF('Plan de Tareas'!$J10="Completada",2,1),""))</f>
        <v/>
      </c>
      <c r="R11" s="36" t="str">
        <f>IF(OR($D11="",$E11=""),"",IF(AND($D11&lt;=R$7+6,$E11&gt;=R$7),IF('Plan de Tareas'!$J10="Completada",2,1),""))</f>
        <v/>
      </c>
      <c r="S11" s="36" t="str">
        <f>IF(OR($D11="",$E11=""),"",IF(AND($D11&lt;=S$7+6,$E11&gt;=S$7),IF('Plan de Tareas'!$J10="Completada",2,1),""))</f>
        <v/>
      </c>
      <c r="T11" s="36" t="str">
        <f>IF(OR($D11="",$E11=""),"",IF(AND($D11&lt;=T$7+6,$E11&gt;=T$7),IF('Plan de Tareas'!$J10="Completada",2,1),""))</f>
        <v/>
      </c>
      <c r="U11" s="36" t="str">
        <f>IF(OR($D11="",$E11=""),"",IF(AND($D11&lt;=U$7+6,$E11&gt;=U$7),IF('Plan de Tareas'!$J10="Completada",2,1),""))</f>
        <v/>
      </c>
      <c r="V11" s="36" t="str">
        <f>IF(OR($D11="",$E11=""),"",IF(AND($D11&lt;=V$7+6,$E11&gt;=V$7),IF('Plan de Tareas'!$J10="Completada",2,1),""))</f>
        <v/>
      </c>
      <c r="W11" s="36" t="str">
        <f>IF(OR($D11="",$E11=""),"",IF(AND($D11&lt;=W$7+6,$E11&gt;=W$7),IF('Plan de Tareas'!$J10="Completada",2,1),""))</f>
        <v/>
      </c>
      <c r="X11" s="36" t="str">
        <f>IF(OR($D11="",$E11=""),"",IF(AND($D11&lt;=X$7+6,$E11&gt;=X$7),IF('Plan de Tareas'!$J10="Completada",2,1),""))</f>
        <v/>
      </c>
      <c r="Y11" s="36" t="str">
        <f>IF(OR($D11="",$E11=""),"",IF(AND($D11&lt;=Y$7+6,$E11&gt;=Y$7),IF('Plan de Tareas'!$J10="Completada",2,1),""))</f>
        <v/>
      </c>
      <c r="Z11" s="36" t="str">
        <f>IF(OR($D11="",$E11=""),"",IF(AND($D11&lt;=Z$7+6,$E11&gt;=Z$7),IF('Plan de Tareas'!$J10="Completada",2,1),""))</f>
        <v/>
      </c>
      <c r="AA11" s="36" t="str">
        <f>IF(OR($D11="",$E11=""),"",IF(AND($D11&lt;=AA$7+6,$E11&gt;=AA$7),IF('Plan de Tareas'!$J10="Completada",2,1),""))</f>
        <v/>
      </c>
      <c r="AB11" s="36" t="str">
        <f>IF(OR($D11="",$E11=""),"",IF(AND($D11&lt;=AB$7+6,$E11&gt;=AB$7),IF('Plan de Tareas'!$J10="Completada",2,1),""))</f>
        <v/>
      </c>
      <c r="AC11" s="36" t="str">
        <f>IF(OR($D11="",$E11=""),"",IF(AND($D11&lt;=AC$7+6,$E11&gt;=AC$7),IF('Plan de Tareas'!$J10="Completada",2,1),""))</f>
        <v/>
      </c>
      <c r="AD11" s="36" t="str">
        <f>IF(OR($D11="",$E11=""),"",IF(AND($D11&lt;=AD$7+6,$E11&gt;=AD$7),IF('Plan de Tareas'!$J10="Completada",2,1),""))</f>
        <v/>
      </c>
      <c r="AE11" s="36" t="str">
        <f>IF(OR($D11="",$E11=""),"",IF(AND($D11&lt;=AE$7+6,$E11&gt;=AE$7),IF('Plan de Tareas'!$J10="Completada",2,1),""))</f>
        <v/>
      </c>
    </row>
    <row r="12" spans="1:31" ht="15" customHeight="1" x14ac:dyDescent="0.3">
      <c r="A12" s="34" t="str">
        <f>IF('Plan de Tareas'!$C11="","",'Plan de Tareas'!$A11)</f>
        <v/>
      </c>
      <c r="B12" s="20" t="str">
        <f>IF('Plan de Tareas'!$C11="","",'Plan de Tareas'!$C11)</f>
        <v/>
      </c>
      <c r="C12" s="20" t="str">
        <f>IF('Plan de Tareas'!$C11="","",'Plan de Tareas'!$D11)</f>
        <v/>
      </c>
      <c r="D12" s="35" t="str">
        <f>IF('Plan de Tareas'!$F11="","",'Plan de Tareas'!$F11)</f>
        <v/>
      </c>
      <c r="E12" s="35" t="str">
        <f>IF('Plan de Tareas'!$G11="","",'Plan de Tareas'!$G11)</f>
        <v/>
      </c>
      <c r="F12" s="36" t="str">
        <f>IF(OR($D12="",$E12=""),"",IF(AND($D12&lt;=F$7+6,$E12&gt;=F$7),IF('Plan de Tareas'!$J11="Completada",2,1),""))</f>
        <v/>
      </c>
      <c r="G12" s="36" t="str">
        <f>IF(OR($D12="",$E12=""),"",IF(AND($D12&lt;=G$7+6,$E12&gt;=G$7),IF('Plan de Tareas'!$J11="Completada",2,1),""))</f>
        <v/>
      </c>
      <c r="H12" s="36" t="str">
        <f>IF(OR($D12="",$E12=""),"",IF(AND($D12&lt;=H$7+6,$E12&gt;=H$7),IF('Plan de Tareas'!$J11="Completada",2,1),""))</f>
        <v/>
      </c>
      <c r="I12" s="36" t="str">
        <f>IF(OR($D12="",$E12=""),"",IF(AND($D12&lt;=I$7+6,$E12&gt;=I$7),IF('Plan de Tareas'!$J11="Completada",2,1),""))</f>
        <v/>
      </c>
      <c r="J12" s="36" t="str">
        <f>IF(OR($D12="",$E12=""),"",IF(AND($D12&lt;=J$7+6,$E12&gt;=J$7),IF('Plan de Tareas'!$J11="Completada",2,1),""))</f>
        <v/>
      </c>
      <c r="K12" s="36" t="str">
        <f>IF(OR($D12="",$E12=""),"",IF(AND($D12&lt;=K$7+6,$E12&gt;=K$7),IF('Plan de Tareas'!$J11="Completada",2,1),""))</f>
        <v/>
      </c>
      <c r="L12" s="36" t="str">
        <f>IF(OR($D12="",$E12=""),"",IF(AND($D12&lt;=L$7+6,$E12&gt;=L$7),IF('Plan de Tareas'!$J11="Completada",2,1),""))</f>
        <v/>
      </c>
      <c r="M12" s="36" t="str">
        <f>IF(OR($D12="",$E12=""),"",IF(AND($D12&lt;=M$7+6,$E12&gt;=M$7),IF('Plan de Tareas'!$J11="Completada",2,1),""))</f>
        <v/>
      </c>
      <c r="N12" s="36" t="str">
        <f>IF(OR($D12="",$E12=""),"",IF(AND($D12&lt;=N$7+6,$E12&gt;=N$7),IF('Plan de Tareas'!$J11="Completada",2,1),""))</f>
        <v/>
      </c>
      <c r="O12" s="36" t="str">
        <f>IF(OR($D12="",$E12=""),"",IF(AND($D12&lt;=O$7+6,$E12&gt;=O$7),IF('Plan de Tareas'!$J11="Completada",2,1),""))</f>
        <v/>
      </c>
      <c r="P12" s="36" t="str">
        <f>IF(OR($D12="",$E12=""),"",IF(AND($D12&lt;=P$7+6,$E12&gt;=P$7),IF('Plan de Tareas'!$J11="Completada",2,1),""))</f>
        <v/>
      </c>
      <c r="Q12" s="36" t="str">
        <f>IF(OR($D12="",$E12=""),"",IF(AND($D12&lt;=Q$7+6,$E12&gt;=Q$7),IF('Plan de Tareas'!$J11="Completada",2,1),""))</f>
        <v/>
      </c>
      <c r="R12" s="36" t="str">
        <f>IF(OR($D12="",$E12=""),"",IF(AND($D12&lt;=R$7+6,$E12&gt;=R$7),IF('Plan de Tareas'!$J11="Completada",2,1),""))</f>
        <v/>
      </c>
      <c r="S12" s="36" t="str">
        <f>IF(OR($D12="",$E12=""),"",IF(AND($D12&lt;=S$7+6,$E12&gt;=S$7),IF('Plan de Tareas'!$J11="Completada",2,1),""))</f>
        <v/>
      </c>
      <c r="T12" s="36" t="str">
        <f>IF(OR($D12="",$E12=""),"",IF(AND($D12&lt;=T$7+6,$E12&gt;=T$7),IF('Plan de Tareas'!$J11="Completada",2,1),""))</f>
        <v/>
      </c>
      <c r="U12" s="36" t="str">
        <f>IF(OR($D12="",$E12=""),"",IF(AND($D12&lt;=U$7+6,$E12&gt;=U$7),IF('Plan de Tareas'!$J11="Completada",2,1),""))</f>
        <v/>
      </c>
      <c r="V12" s="36" t="str">
        <f>IF(OR($D12="",$E12=""),"",IF(AND($D12&lt;=V$7+6,$E12&gt;=V$7),IF('Plan de Tareas'!$J11="Completada",2,1),""))</f>
        <v/>
      </c>
      <c r="W12" s="36" t="str">
        <f>IF(OR($D12="",$E12=""),"",IF(AND($D12&lt;=W$7+6,$E12&gt;=W$7),IF('Plan de Tareas'!$J11="Completada",2,1),""))</f>
        <v/>
      </c>
      <c r="X12" s="36" t="str">
        <f>IF(OR($D12="",$E12=""),"",IF(AND($D12&lt;=X$7+6,$E12&gt;=X$7),IF('Plan de Tareas'!$J11="Completada",2,1),""))</f>
        <v/>
      </c>
      <c r="Y12" s="36" t="str">
        <f>IF(OR($D12="",$E12=""),"",IF(AND($D12&lt;=Y$7+6,$E12&gt;=Y$7),IF('Plan de Tareas'!$J11="Completada",2,1),""))</f>
        <v/>
      </c>
      <c r="Z12" s="36" t="str">
        <f>IF(OR($D12="",$E12=""),"",IF(AND($D12&lt;=Z$7+6,$E12&gt;=Z$7),IF('Plan de Tareas'!$J11="Completada",2,1),""))</f>
        <v/>
      </c>
      <c r="AA12" s="36" t="str">
        <f>IF(OR($D12="",$E12=""),"",IF(AND($D12&lt;=AA$7+6,$E12&gt;=AA$7),IF('Plan de Tareas'!$J11="Completada",2,1),""))</f>
        <v/>
      </c>
      <c r="AB12" s="36" t="str">
        <f>IF(OR($D12="",$E12=""),"",IF(AND($D12&lt;=AB$7+6,$E12&gt;=AB$7),IF('Plan de Tareas'!$J11="Completada",2,1),""))</f>
        <v/>
      </c>
      <c r="AC12" s="36" t="str">
        <f>IF(OR($D12="",$E12=""),"",IF(AND($D12&lt;=AC$7+6,$E12&gt;=AC$7),IF('Plan de Tareas'!$J11="Completada",2,1),""))</f>
        <v/>
      </c>
      <c r="AD12" s="36" t="str">
        <f>IF(OR($D12="",$E12=""),"",IF(AND($D12&lt;=AD$7+6,$E12&gt;=AD$7),IF('Plan de Tareas'!$J11="Completada",2,1),""))</f>
        <v/>
      </c>
      <c r="AE12" s="36" t="str">
        <f>IF(OR($D12="",$E12=""),"",IF(AND($D12&lt;=AE$7+6,$E12&gt;=AE$7),IF('Plan de Tareas'!$J11="Completada",2,1),""))</f>
        <v/>
      </c>
    </row>
    <row r="13" spans="1:31" ht="15" customHeight="1" x14ac:dyDescent="0.3">
      <c r="A13" s="37" t="str">
        <f>IF('Plan de Tareas'!$C12="","",'Plan de Tareas'!$A12)</f>
        <v/>
      </c>
      <c r="B13" s="26" t="str">
        <f>IF('Plan de Tareas'!$C12="","",'Plan de Tareas'!$C12)</f>
        <v/>
      </c>
      <c r="C13" s="26" t="str">
        <f>IF('Plan de Tareas'!$C12="","",'Plan de Tareas'!$D12)</f>
        <v/>
      </c>
      <c r="D13" s="38" t="str">
        <f>IF('Plan de Tareas'!$F12="","",'Plan de Tareas'!$F12)</f>
        <v/>
      </c>
      <c r="E13" s="38" t="str">
        <f>IF('Plan de Tareas'!$G12="","",'Plan de Tareas'!$G12)</f>
        <v/>
      </c>
      <c r="F13" s="36" t="str">
        <f>IF(OR($D13="",$E13=""),"",IF(AND($D13&lt;=F$7+6,$E13&gt;=F$7),IF('Plan de Tareas'!$J12="Completada",2,1),""))</f>
        <v/>
      </c>
      <c r="G13" s="36" t="str">
        <f>IF(OR($D13="",$E13=""),"",IF(AND($D13&lt;=G$7+6,$E13&gt;=G$7),IF('Plan de Tareas'!$J12="Completada",2,1),""))</f>
        <v/>
      </c>
      <c r="H13" s="36" t="str">
        <f>IF(OR($D13="",$E13=""),"",IF(AND($D13&lt;=H$7+6,$E13&gt;=H$7),IF('Plan de Tareas'!$J12="Completada",2,1),""))</f>
        <v/>
      </c>
      <c r="I13" s="36" t="str">
        <f>IF(OR($D13="",$E13=""),"",IF(AND($D13&lt;=I$7+6,$E13&gt;=I$7),IF('Plan de Tareas'!$J12="Completada",2,1),""))</f>
        <v/>
      </c>
      <c r="J13" s="36" t="str">
        <f>IF(OR($D13="",$E13=""),"",IF(AND($D13&lt;=J$7+6,$E13&gt;=J$7),IF('Plan de Tareas'!$J12="Completada",2,1),""))</f>
        <v/>
      </c>
      <c r="K13" s="36" t="str">
        <f>IF(OR($D13="",$E13=""),"",IF(AND($D13&lt;=K$7+6,$E13&gt;=K$7),IF('Plan de Tareas'!$J12="Completada",2,1),""))</f>
        <v/>
      </c>
      <c r="L13" s="36" t="str">
        <f>IF(OR($D13="",$E13=""),"",IF(AND($D13&lt;=L$7+6,$E13&gt;=L$7),IF('Plan de Tareas'!$J12="Completada",2,1),""))</f>
        <v/>
      </c>
      <c r="M13" s="36" t="str">
        <f>IF(OR($D13="",$E13=""),"",IF(AND($D13&lt;=M$7+6,$E13&gt;=M$7),IF('Plan de Tareas'!$J12="Completada",2,1),""))</f>
        <v/>
      </c>
      <c r="N13" s="36" t="str">
        <f>IF(OR($D13="",$E13=""),"",IF(AND($D13&lt;=N$7+6,$E13&gt;=N$7),IF('Plan de Tareas'!$J12="Completada",2,1),""))</f>
        <v/>
      </c>
      <c r="O13" s="36" t="str">
        <f>IF(OR($D13="",$E13=""),"",IF(AND($D13&lt;=O$7+6,$E13&gt;=O$7),IF('Plan de Tareas'!$J12="Completada",2,1),""))</f>
        <v/>
      </c>
      <c r="P13" s="36" t="str">
        <f>IF(OR($D13="",$E13=""),"",IF(AND($D13&lt;=P$7+6,$E13&gt;=P$7),IF('Plan de Tareas'!$J12="Completada",2,1),""))</f>
        <v/>
      </c>
      <c r="Q13" s="36" t="str">
        <f>IF(OR($D13="",$E13=""),"",IF(AND($D13&lt;=Q$7+6,$E13&gt;=Q$7),IF('Plan de Tareas'!$J12="Completada",2,1),""))</f>
        <v/>
      </c>
      <c r="R13" s="36" t="str">
        <f>IF(OR($D13="",$E13=""),"",IF(AND($D13&lt;=R$7+6,$E13&gt;=R$7),IF('Plan de Tareas'!$J12="Completada",2,1),""))</f>
        <v/>
      </c>
      <c r="S13" s="36" t="str">
        <f>IF(OR($D13="",$E13=""),"",IF(AND($D13&lt;=S$7+6,$E13&gt;=S$7),IF('Plan de Tareas'!$J12="Completada",2,1),""))</f>
        <v/>
      </c>
      <c r="T13" s="36" t="str">
        <f>IF(OR($D13="",$E13=""),"",IF(AND($D13&lt;=T$7+6,$E13&gt;=T$7),IF('Plan de Tareas'!$J12="Completada",2,1),""))</f>
        <v/>
      </c>
      <c r="U13" s="36" t="str">
        <f>IF(OR($D13="",$E13=""),"",IF(AND($D13&lt;=U$7+6,$E13&gt;=U$7),IF('Plan de Tareas'!$J12="Completada",2,1),""))</f>
        <v/>
      </c>
      <c r="V13" s="36" t="str">
        <f>IF(OR($D13="",$E13=""),"",IF(AND($D13&lt;=V$7+6,$E13&gt;=V$7),IF('Plan de Tareas'!$J12="Completada",2,1),""))</f>
        <v/>
      </c>
      <c r="W13" s="36" t="str">
        <f>IF(OR($D13="",$E13=""),"",IF(AND($D13&lt;=W$7+6,$E13&gt;=W$7),IF('Plan de Tareas'!$J12="Completada",2,1),""))</f>
        <v/>
      </c>
      <c r="X13" s="36" t="str">
        <f>IF(OR($D13="",$E13=""),"",IF(AND($D13&lt;=X$7+6,$E13&gt;=X$7),IF('Plan de Tareas'!$J12="Completada",2,1),""))</f>
        <v/>
      </c>
      <c r="Y13" s="36" t="str">
        <f>IF(OR($D13="",$E13=""),"",IF(AND($D13&lt;=Y$7+6,$E13&gt;=Y$7),IF('Plan de Tareas'!$J12="Completada",2,1),""))</f>
        <v/>
      </c>
      <c r="Z13" s="36" t="str">
        <f>IF(OR($D13="",$E13=""),"",IF(AND($D13&lt;=Z$7+6,$E13&gt;=Z$7),IF('Plan de Tareas'!$J12="Completada",2,1),""))</f>
        <v/>
      </c>
      <c r="AA13" s="36" t="str">
        <f>IF(OR($D13="",$E13=""),"",IF(AND($D13&lt;=AA$7+6,$E13&gt;=AA$7),IF('Plan de Tareas'!$J12="Completada",2,1),""))</f>
        <v/>
      </c>
      <c r="AB13" s="36" t="str">
        <f>IF(OR($D13="",$E13=""),"",IF(AND($D13&lt;=AB$7+6,$E13&gt;=AB$7),IF('Plan de Tareas'!$J12="Completada",2,1),""))</f>
        <v/>
      </c>
      <c r="AC13" s="36" t="str">
        <f>IF(OR($D13="",$E13=""),"",IF(AND($D13&lt;=AC$7+6,$E13&gt;=AC$7),IF('Plan de Tareas'!$J12="Completada",2,1),""))</f>
        <v/>
      </c>
      <c r="AD13" s="36" t="str">
        <f>IF(OR($D13="",$E13=""),"",IF(AND($D13&lt;=AD$7+6,$E13&gt;=AD$7),IF('Plan de Tareas'!$J12="Completada",2,1),""))</f>
        <v/>
      </c>
      <c r="AE13" s="36" t="str">
        <f>IF(OR($D13="",$E13=""),"",IF(AND($D13&lt;=AE$7+6,$E13&gt;=AE$7),IF('Plan de Tareas'!$J12="Completada",2,1),""))</f>
        <v/>
      </c>
    </row>
    <row r="14" spans="1:31" ht="15" customHeight="1" x14ac:dyDescent="0.3">
      <c r="A14" s="34" t="str">
        <f>IF('Plan de Tareas'!$C13="","",'Plan de Tareas'!$A13)</f>
        <v/>
      </c>
      <c r="B14" s="20" t="str">
        <f>IF('Plan de Tareas'!$C13="","",'Plan de Tareas'!$C13)</f>
        <v/>
      </c>
      <c r="C14" s="20" t="str">
        <f>IF('Plan de Tareas'!$C13="","",'Plan de Tareas'!$D13)</f>
        <v/>
      </c>
      <c r="D14" s="35" t="str">
        <f>IF('Plan de Tareas'!$F13="","",'Plan de Tareas'!$F13)</f>
        <v/>
      </c>
      <c r="E14" s="35" t="str">
        <f>IF('Plan de Tareas'!$G13="","",'Plan de Tareas'!$G13)</f>
        <v/>
      </c>
      <c r="F14" s="36" t="str">
        <f>IF(OR($D14="",$E14=""),"",IF(AND($D14&lt;=F$7+6,$E14&gt;=F$7),IF('Plan de Tareas'!$J13="Completada",2,1),""))</f>
        <v/>
      </c>
      <c r="G14" s="36" t="str">
        <f>IF(OR($D14="",$E14=""),"",IF(AND($D14&lt;=G$7+6,$E14&gt;=G$7),IF('Plan de Tareas'!$J13="Completada",2,1),""))</f>
        <v/>
      </c>
      <c r="H14" s="36" t="str">
        <f>IF(OR($D14="",$E14=""),"",IF(AND($D14&lt;=H$7+6,$E14&gt;=H$7),IF('Plan de Tareas'!$J13="Completada",2,1),""))</f>
        <v/>
      </c>
      <c r="I14" s="36" t="str">
        <f>IF(OR($D14="",$E14=""),"",IF(AND($D14&lt;=I$7+6,$E14&gt;=I$7),IF('Plan de Tareas'!$J13="Completada",2,1),""))</f>
        <v/>
      </c>
      <c r="J14" s="36" t="str">
        <f>IF(OR($D14="",$E14=""),"",IF(AND($D14&lt;=J$7+6,$E14&gt;=J$7),IF('Plan de Tareas'!$J13="Completada",2,1),""))</f>
        <v/>
      </c>
      <c r="K14" s="36" t="str">
        <f>IF(OR($D14="",$E14=""),"",IF(AND($D14&lt;=K$7+6,$E14&gt;=K$7),IF('Plan de Tareas'!$J13="Completada",2,1),""))</f>
        <v/>
      </c>
      <c r="L14" s="36" t="str">
        <f>IF(OR($D14="",$E14=""),"",IF(AND($D14&lt;=L$7+6,$E14&gt;=L$7),IF('Plan de Tareas'!$J13="Completada",2,1),""))</f>
        <v/>
      </c>
      <c r="M14" s="36" t="str">
        <f>IF(OR($D14="",$E14=""),"",IF(AND($D14&lt;=M$7+6,$E14&gt;=M$7),IF('Plan de Tareas'!$J13="Completada",2,1),""))</f>
        <v/>
      </c>
      <c r="N14" s="36" t="str">
        <f>IF(OR($D14="",$E14=""),"",IF(AND($D14&lt;=N$7+6,$E14&gt;=N$7),IF('Plan de Tareas'!$J13="Completada",2,1),""))</f>
        <v/>
      </c>
      <c r="O14" s="36" t="str">
        <f>IF(OR($D14="",$E14=""),"",IF(AND($D14&lt;=O$7+6,$E14&gt;=O$7),IF('Plan de Tareas'!$J13="Completada",2,1),""))</f>
        <v/>
      </c>
      <c r="P14" s="36" t="str">
        <f>IF(OR($D14="",$E14=""),"",IF(AND($D14&lt;=P$7+6,$E14&gt;=P$7),IF('Plan de Tareas'!$J13="Completada",2,1),""))</f>
        <v/>
      </c>
      <c r="Q14" s="36" t="str">
        <f>IF(OR($D14="",$E14=""),"",IF(AND($D14&lt;=Q$7+6,$E14&gt;=Q$7),IF('Plan de Tareas'!$J13="Completada",2,1),""))</f>
        <v/>
      </c>
      <c r="R14" s="36" t="str">
        <f>IF(OR($D14="",$E14=""),"",IF(AND($D14&lt;=R$7+6,$E14&gt;=R$7),IF('Plan de Tareas'!$J13="Completada",2,1),""))</f>
        <v/>
      </c>
      <c r="S14" s="36" t="str">
        <f>IF(OR($D14="",$E14=""),"",IF(AND($D14&lt;=S$7+6,$E14&gt;=S$7),IF('Plan de Tareas'!$J13="Completada",2,1),""))</f>
        <v/>
      </c>
      <c r="T14" s="36" t="str">
        <f>IF(OR($D14="",$E14=""),"",IF(AND($D14&lt;=T$7+6,$E14&gt;=T$7),IF('Plan de Tareas'!$J13="Completada",2,1),""))</f>
        <v/>
      </c>
      <c r="U14" s="36" t="str">
        <f>IF(OR($D14="",$E14=""),"",IF(AND($D14&lt;=U$7+6,$E14&gt;=U$7),IF('Plan de Tareas'!$J13="Completada",2,1),""))</f>
        <v/>
      </c>
      <c r="V14" s="36" t="str">
        <f>IF(OR($D14="",$E14=""),"",IF(AND($D14&lt;=V$7+6,$E14&gt;=V$7),IF('Plan de Tareas'!$J13="Completada",2,1),""))</f>
        <v/>
      </c>
      <c r="W14" s="36" t="str">
        <f>IF(OR($D14="",$E14=""),"",IF(AND($D14&lt;=W$7+6,$E14&gt;=W$7),IF('Plan de Tareas'!$J13="Completada",2,1),""))</f>
        <v/>
      </c>
      <c r="X14" s="36" t="str">
        <f>IF(OR($D14="",$E14=""),"",IF(AND($D14&lt;=X$7+6,$E14&gt;=X$7),IF('Plan de Tareas'!$J13="Completada",2,1),""))</f>
        <v/>
      </c>
      <c r="Y14" s="36" t="str">
        <f>IF(OR($D14="",$E14=""),"",IF(AND($D14&lt;=Y$7+6,$E14&gt;=Y$7),IF('Plan de Tareas'!$J13="Completada",2,1),""))</f>
        <v/>
      </c>
      <c r="Z14" s="36" t="str">
        <f>IF(OR($D14="",$E14=""),"",IF(AND($D14&lt;=Z$7+6,$E14&gt;=Z$7),IF('Plan de Tareas'!$J13="Completada",2,1),""))</f>
        <v/>
      </c>
      <c r="AA14" s="36" t="str">
        <f>IF(OR($D14="",$E14=""),"",IF(AND($D14&lt;=AA$7+6,$E14&gt;=AA$7),IF('Plan de Tareas'!$J13="Completada",2,1),""))</f>
        <v/>
      </c>
      <c r="AB14" s="36" t="str">
        <f>IF(OR($D14="",$E14=""),"",IF(AND($D14&lt;=AB$7+6,$E14&gt;=AB$7),IF('Plan de Tareas'!$J13="Completada",2,1),""))</f>
        <v/>
      </c>
      <c r="AC14" s="36" t="str">
        <f>IF(OR($D14="",$E14=""),"",IF(AND($D14&lt;=AC$7+6,$E14&gt;=AC$7),IF('Plan de Tareas'!$J13="Completada",2,1),""))</f>
        <v/>
      </c>
      <c r="AD14" s="36" t="str">
        <f>IF(OR($D14="",$E14=""),"",IF(AND($D14&lt;=AD$7+6,$E14&gt;=AD$7),IF('Plan de Tareas'!$J13="Completada",2,1),""))</f>
        <v/>
      </c>
      <c r="AE14" s="36" t="str">
        <f>IF(OR($D14="",$E14=""),"",IF(AND($D14&lt;=AE$7+6,$E14&gt;=AE$7),IF('Plan de Tareas'!$J13="Completada",2,1),""))</f>
        <v/>
      </c>
    </row>
    <row r="15" spans="1:31" ht="15" customHeight="1" x14ac:dyDescent="0.3">
      <c r="A15" s="37" t="str">
        <f>IF('Plan de Tareas'!$C14="","",'Plan de Tareas'!$A14)</f>
        <v/>
      </c>
      <c r="B15" s="26" t="str">
        <f>IF('Plan de Tareas'!$C14="","",'Plan de Tareas'!$C14)</f>
        <v/>
      </c>
      <c r="C15" s="26" t="str">
        <f>IF('Plan de Tareas'!$C14="","",'Plan de Tareas'!$D14)</f>
        <v/>
      </c>
      <c r="D15" s="38" t="str">
        <f>IF('Plan de Tareas'!$F14="","",'Plan de Tareas'!$F14)</f>
        <v/>
      </c>
      <c r="E15" s="38" t="str">
        <f>IF('Plan de Tareas'!$G14="","",'Plan de Tareas'!$G14)</f>
        <v/>
      </c>
      <c r="F15" s="36" t="str">
        <f>IF(OR($D15="",$E15=""),"",IF(AND($D15&lt;=F$7+6,$E15&gt;=F$7),IF('Plan de Tareas'!$J14="Completada",2,1),""))</f>
        <v/>
      </c>
      <c r="G15" s="36" t="str">
        <f>IF(OR($D15="",$E15=""),"",IF(AND($D15&lt;=G$7+6,$E15&gt;=G$7),IF('Plan de Tareas'!$J14="Completada",2,1),""))</f>
        <v/>
      </c>
      <c r="H15" s="36" t="str">
        <f>IF(OR($D15="",$E15=""),"",IF(AND($D15&lt;=H$7+6,$E15&gt;=H$7),IF('Plan de Tareas'!$J14="Completada",2,1),""))</f>
        <v/>
      </c>
      <c r="I15" s="36" t="str">
        <f>IF(OR($D15="",$E15=""),"",IF(AND($D15&lt;=I$7+6,$E15&gt;=I$7),IF('Plan de Tareas'!$J14="Completada",2,1),""))</f>
        <v/>
      </c>
      <c r="J15" s="36" t="str">
        <f>IF(OR($D15="",$E15=""),"",IF(AND($D15&lt;=J$7+6,$E15&gt;=J$7),IF('Plan de Tareas'!$J14="Completada",2,1),""))</f>
        <v/>
      </c>
      <c r="K15" s="36" t="str">
        <f>IF(OR($D15="",$E15=""),"",IF(AND($D15&lt;=K$7+6,$E15&gt;=K$7),IF('Plan de Tareas'!$J14="Completada",2,1),""))</f>
        <v/>
      </c>
      <c r="L15" s="36" t="str">
        <f>IF(OR($D15="",$E15=""),"",IF(AND($D15&lt;=L$7+6,$E15&gt;=L$7),IF('Plan de Tareas'!$J14="Completada",2,1),""))</f>
        <v/>
      </c>
      <c r="M15" s="36" t="str">
        <f>IF(OR($D15="",$E15=""),"",IF(AND($D15&lt;=M$7+6,$E15&gt;=M$7),IF('Plan de Tareas'!$J14="Completada",2,1),""))</f>
        <v/>
      </c>
      <c r="N15" s="36" t="str">
        <f>IF(OR($D15="",$E15=""),"",IF(AND($D15&lt;=N$7+6,$E15&gt;=N$7),IF('Plan de Tareas'!$J14="Completada",2,1),""))</f>
        <v/>
      </c>
      <c r="O15" s="36" t="str">
        <f>IF(OR($D15="",$E15=""),"",IF(AND($D15&lt;=O$7+6,$E15&gt;=O$7),IF('Plan de Tareas'!$J14="Completada",2,1),""))</f>
        <v/>
      </c>
      <c r="P15" s="36" t="str">
        <f>IF(OR($D15="",$E15=""),"",IF(AND($D15&lt;=P$7+6,$E15&gt;=P$7),IF('Plan de Tareas'!$J14="Completada",2,1),""))</f>
        <v/>
      </c>
      <c r="Q15" s="36" t="str">
        <f>IF(OR($D15="",$E15=""),"",IF(AND($D15&lt;=Q$7+6,$E15&gt;=Q$7),IF('Plan de Tareas'!$J14="Completada",2,1),""))</f>
        <v/>
      </c>
      <c r="R15" s="36" t="str">
        <f>IF(OR($D15="",$E15=""),"",IF(AND($D15&lt;=R$7+6,$E15&gt;=R$7),IF('Plan de Tareas'!$J14="Completada",2,1),""))</f>
        <v/>
      </c>
      <c r="S15" s="36" t="str">
        <f>IF(OR($D15="",$E15=""),"",IF(AND($D15&lt;=S$7+6,$E15&gt;=S$7),IF('Plan de Tareas'!$J14="Completada",2,1),""))</f>
        <v/>
      </c>
      <c r="T15" s="36" t="str">
        <f>IF(OR($D15="",$E15=""),"",IF(AND($D15&lt;=T$7+6,$E15&gt;=T$7),IF('Plan de Tareas'!$J14="Completada",2,1),""))</f>
        <v/>
      </c>
      <c r="U15" s="36" t="str">
        <f>IF(OR($D15="",$E15=""),"",IF(AND($D15&lt;=U$7+6,$E15&gt;=U$7),IF('Plan de Tareas'!$J14="Completada",2,1),""))</f>
        <v/>
      </c>
      <c r="V15" s="36" t="str">
        <f>IF(OR($D15="",$E15=""),"",IF(AND($D15&lt;=V$7+6,$E15&gt;=V$7),IF('Plan de Tareas'!$J14="Completada",2,1),""))</f>
        <v/>
      </c>
      <c r="W15" s="36" t="str">
        <f>IF(OR($D15="",$E15=""),"",IF(AND($D15&lt;=W$7+6,$E15&gt;=W$7),IF('Plan de Tareas'!$J14="Completada",2,1),""))</f>
        <v/>
      </c>
      <c r="X15" s="36" t="str">
        <f>IF(OR($D15="",$E15=""),"",IF(AND($D15&lt;=X$7+6,$E15&gt;=X$7),IF('Plan de Tareas'!$J14="Completada",2,1),""))</f>
        <v/>
      </c>
      <c r="Y15" s="36" t="str">
        <f>IF(OR($D15="",$E15=""),"",IF(AND($D15&lt;=Y$7+6,$E15&gt;=Y$7),IF('Plan de Tareas'!$J14="Completada",2,1),""))</f>
        <v/>
      </c>
      <c r="Z15" s="36" t="str">
        <f>IF(OR($D15="",$E15=""),"",IF(AND($D15&lt;=Z$7+6,$E15&gt;=Z$7),IF('Plan de Tareas'!$J14="Completada",2,1),""))</f>
        <v/>
      </c>
      <c r="AA15" s="36" t="str">
        <f>IF(OR($D15="",$E15=""),"",IF(AND($D15&lt;=AA$7+6,$E15&gt;=AA$7),IF('Plan de Tareas'!$J14="Completada",2,1),""))</f>
        <v/>
      </c>
      <c r="AB15" s="36" t="str">
        <f>IF(OR($D15="",$E15=""),"",IF(AND($D15&lt;=AB$7+6,$E15&gt;=AB$7),IF('Plan de Tareas'!$J14="Completada",2,1),""))</f>
        <v/>
      </c>
      <c r="AC15" s="36" t="str">
        <f>IF(OR($D15="",$E15=""),"",IF(AND($D15&lt;=AC$7+6,$E15&gt;=AC$7),IF('Plan de Tareas'!$J14="Completada",2,1),""))</f>
        <v/>
      </c>
      <c r="AD15" s="36" t="str">
        <f>IF(OR($D15="",$E15=""),"",IF(AND($D15&lt;=AD$7+6,$E15&gt;=AD$7),IF('Plan de Tareas'!$J14="Completada",2,1),""))</f>
        <v/>
      </c>
      <c r="AE15" s="36" t="str">
        <f>IF(OR($D15="",$E15=""),"",IF(AND($D15&lt;=AE$7+6,$E15&gt;=AE$7),IF('Plan de Tareas'!$J14="Completada",2,1),""))</f>
        <v/>
      </c>
    </row>
    <row r="16" spans="1:31" ht="15" customHeight="1" x14ac:dyDescent="0.3">
      <c r="A16" s="34" t="str">
        <f>IF('Plan de Tareas'!$C15="","",'Plan de Tareas'!$A15)</f>
        <v/>
      </c>
      <c r="B16" s="20" t="str">
        <f>IF('Plan de Tareas'!$C15="","",'Plan de Tareas'!$C15)</f>
        <v/>
      </c>
      <c r="C16" s="20" t="str">
        <f>IF('Plan de Tareas'!$C15="","",'Plan de Tareas'!$D15)</f>
        <v/>
      </c>
      <c r="D16" s="35" t="str">
        <f>IF('Plan de Tareas'!$F15="","",'Plan de Tareas'!$F15)</f>
        <v/>
      </c>
      <c r="E16" s="35" t="str">
        <f>IF('Plan de Tareas'!$G15="","",'Plan de Tareas'!$G15)</f>
        <v/>
      </c>
      <c r="F16" s="36" t="str">
        <f>IF(OR($D16="",$E16=""),"",IF(AND($D16&lt;=F$7+6,$E16&gt;=F$7),IF('Plan de Tareas'!$J15="Completada",2,1),""))</f>
        <v/>
      </c>
      <c r="G16" s="36" t="str">
        <f>IF(OR($D16="",$E16=""),"",IF(AND($D16&lt;=G$7+6,$E16&gt;=G$7),IF('Plan de Tareas'!$J15="Completada",2,1),""))</f>
        <v/>
      </c>
      <c r="H16" s="36" t="str">
        <f>IF(OR($D16="",$E16=""),"",IF(AND($D16&lt;=H$7+6,$E16&gt;=H$7),IF('Plan de Tareas'!$J15="Completada",2,1),""))</f>
        <v/>
      </c>
      <c r="I16" s="36" t="str">
        <f>IF(OR($D16="",$E16=""),"",IF(AND($D16&lt;=I$7+6,$E16&gt;=I$7),IF('Plan de Tareas'!$J15="Completada",2,1),""))</f>
        <v/>
      </c>
      <c r="J16" s="36" t="str">
        <f>IF(OR($D16="",$E16=""),"",IF(AND($D16&lt;=J$7+6,$E16&gt;=J$7),IF('Plan de Tareas'!$J15="Completada",2,1),""))</f>
        <v/>
      </c>
      <c r="K16" s="36" t="str">
        <f>IF(OR($D16="",$E16=""),"",IF(AND($D16&lt;=K$7+6,$E16&gt;=K$7),IF('Plan de Tareas'!$J15="Completada",2,1),""))</f>
        <v/>
      </c>
      <c r="L16" s="36" t="str">
        <f>IF(OR($D16="",$E16=""),"",IF(AND($D16&lt;=L$7+6,$E16&gt;=L$7),IF('Plan de Tareas'!$J15="Completada",2,1),""))</f>
        <v/>
      </c>
      <c r="M16" s="36" t="str">
        <f>IF(OR($D16="",$E16=""),"",IF(AND($D16&lt;=M$7+6,$E16&gt;=M$7),IF('Plan de Tareas'!$J15="Completada",2,1),""))</f>
        <v/>
      </c>
      <c r="N16" s="36" t="str">
        <f>IF(OR($D16="",$E16=""),"",IF(AND($D16&lt;=N$7+6,$E16&gt;=N$7),IF('Plan de Tareas'!$J15="Completada",2,1),""))</f>
        <v/>
      </c>
      <c r="O16" s="36" t="str">
        <f>IF(OR($D16="",$E16=""),"",IF(AND($D16&lt;=O$7+6,$E16&gt;=O$7),IF('Plan de Tareas'!$J15="Completada",2,1),""))</f>
        <v/>
      </c>
      <c r="P16" s="36" t="str">
        <f>IF(OR($D16="",$E16=""),"",IF(AND($D16&lt;=P$7+6,$E16&gt;=P$7),IF('Plan de Tareas'!$J15="Completada",2,1),""))</f>
        <v/>
      </c>
      <c r="Q16" s="36" t="str">
        <f>IF(OR($D16="",$E16=""),"",IF(AND($D16&lt;=Q$7+6,$E16&gt;=Q$7),IF('Plan de Tareas'!$J15="Completada",2,1),""))</f>
        <v/>
      </c>
      <c r="R16" s="36" t="str">
        <f>IF(OR($D16="",$E16=""),"",IF(AND($D16&lt;=R$7+6,$E16&gt;=R$7),IF('Plan de Tareas'!$J15="Completada",2,1),""))</f>
        <v/>
      </c>
      <c r="S16" s="36" t="str">
        <f>IF(OR($D16="",$E16=""),"",IF(AND($D16&lt;=S$7+6,$E16&gt;=S$7),IF('Plan de Tareas'!$J15="Completada",2,1),""))</f>
        <v/>
      </c>
      <c r="T16" s="36" t="str">
        <f>IF(OR($D16="",$E16=""),"",IF(AND($D16&lt;=T$7+6,$E16&gt;=T$7),IF('Plan de Tareas'!$J15="Completada",2,1),""))</f>
        <v/>
      </c>
      <c r="U16" s="36" t="str">
        <f>IF(OR($D16="",$E16=""),"",IF(AND($D16&lt;=U$7+6,$E16&gt;=U$7),IF('Plan de Tareas'!$J15="Completada",2,1),""))</f>
        <v/>
      </c>
      <c r="V16" s="36" t="str">
        <f>IF(OR($D16="",$E16=""),"",IF(AND($D16&lt;=V$7+6,$E16&gt;=V$7),IF('Plan de Tareas'!$J15="Completada",2,1),""))</f>
        <v/>
      </c>
      <c r="W16" s="36" t="str">
        <f>IF(OR($D16="",$E16=""),"",IF(AND($D16&lt;=W$7+6,$E16&gt;=W$7),IF('Plan de Tareas'!$J15="Completada",2,1),""))</f>
        <v/>
      </c>
      <c r="X16" s="36" t="str">
        <f>IF(OR($D16="",$E16=""),"",IF(AND($D16&lt;=X$7+6,$E16&gt;=X$7),IF('Plan de Tareas'!$J15="Completada",2,1),""))</f>
        <v/>
      </c>
      <c r="Y16" s="36" t="str">
        <f>IF(OR($D16="",$E16=""),"",IF(AND($D16&lt;=Y$7+6,$E16&gt;=Y$7),IF('Plan de Tareas'!$J15="Completada",2,1),""))</f>
        <v/>
      </c>
      <c r="Z16" s="36" t="str">
        <f>IF(OR($D16="",$E16=""),"",IF(AND($D16&lt;=Z$7+6,$E16&gt;=Z$7),IF('Plan de Tareas'!$J15="Completada",2,1),""))</f>
        <v/>
      </c>
      <c r="AA16" s="36" t="str">
        <f>IF(OR($D16="",$E16=""),"",IF(AND($D16&lt;=AA$7+6,$E16&gt;=AA$7),IF('Plan de Tareas'!$J15="Completada",2,1),""))</f>
        <v/>
      </c>
      <c r="AB16" s="36" t="str">
        <f>IF(OR($D16="",$E16=""),"",IF(AND($D16&lt;=AB$7+6,$E16&gt;=AB$7),IF('Plan de Tareas'!$J15="Completada",2,1),""))</f>
        <v/>
      </c>
      <c r="AC16" s="36" t="str">
        <f>IF(OR($D16="",$E16=""),"",IF(AND($D16&lt;=AC$7+6,$E16&gt;=AC$7),IF('Plan de Tareas'!$J15="Completada",2,1),""))</f>
        <v/>
      </c>
      <c r="AD16" s="36" t="str">
        <f>IF(OR($D16="",$E16=""),"",IF(AND($D16&lt;=AD$7+6,$E16&gt;=AD$7),IF('Plan de Tareas'!$J15="Completada",2,1),""))</f>
        <v/>
      </c>
      <c r="AE16" s="36" t="str">
        <f>IF(OR($D16="",$E16=""),"",IF(AND($D16&lt;=AE$7+6,$E16&gt;=AE$7),IF('Plan de Tareas'!$J15="Completada",2,1),""))</f>
        <v/>
      </c>
    </row>
    <row r="17" spans="1:31" ht="15" customHeight="1" x14ac:dyDescent="0.3">
      <c r="A17" s="37" t="str">
        <f>IF('Plan de Tareas'!$C16="","",'Plan de Tareas'!$A16)</f>
        <v/>
      </c>
      <c r="B17" s="26" t="str">
        <f>IF('Plan de Tareas'!$C16="","",'Plan de Tareas'!$C16)</f>
        <v/>
      </c>
      <c r="C17" s="26" t="str">
        <f>IF('Plan de Tareas'!$C16="","",'Plan de Tareas'!$D16)</f>
        <v/>
      </c>
      <c r="D17" s="38" t="str">
        <f>IF('Plan de Tareas'!$F16="","",'Plan de Tareas'!$F16)</f>
        <v/>
      </c>
      <c r="E17" s="38" t="str">
        <f>IF('Plan de Tareas'!$G16="","",'Plan de Tareas'!$G16)</f>
        <v/>
      </c>
      <c r="F17" s="36" t="str">
        <f>IF(OR($D17="",$E17=""),"",IF(AND($D17&lt;=F$7+6,$E17&gt;=F$7),IF('Plan de Tareas'!$J16="Completada",2,1),""))</f>
        <v/>
      </c>
      <c r="G17" s="36" t="str">
        <f>IF(OR($D17="",$E17=""),"",IF(AND($D17&lt;=G$7+6,$E17&gt;=G$7),IF('Plan de Tareas'!$J16="Completada",2,1),""))</f>
        <v/>
      </c>
      <c r="H17" s="36" t="str">
        <f>IF(OR($D17="",$E17=""),"",IF(AND($D17&lt;=H$7+6,$E17&gt;=H$7),IF('Plan de Tareas'!$J16="Completada",2,1),""))</f>
        <v/>
      </c>
      <c r="I17" s="36" t="str">
        <f>IF(OR($D17="",$E17=""),"",IF(AND($D17&lt;=I$7+6,$E17&gt;=I$7),IF('Plan de Tareas'!$J16="Completada",2,1),""))</f>
        <v/>
      </c>
      <c r="J17" s="36" t="str">
        <f>IF(OR($D17="",$E17=""),"",IF(AND($D17&lt;=J$7+6,$E17&gt;=J$7),IF('Plan de Tareas'!$J16="Completada",2,1),""))</f>
        <v/>
      </c>
      <c r="K17" s="36" t="str">
        <f>IF(OR($D17="",$E17=""),"",IF(AND($D17&lt;=K$7+6,$E17&gt;=K$7),IF('Plan de Tareas'!$J16="Completada",2,1),""))</f>
        <v/>
      </c>
      <c r="L17" s="36" t="str">
        <f>IF(OR($D17="",$E17=""),"",IF(AND($D17&lt;=L$7+6,$E17&gt;=L$7),IF('Plan de Tareas'!$J16="Completada",2,1),""))</f>
        <v/>
      </c>
      <c r="M17" s="36" t="str">
        <f>IF(OR($D17="",$E17=""),"",IF(AND($D17&lt;=M$7+6,$E17&gt;=M$7),IF('Plan de Tareas'!$J16="Completada",2,1),""))</f>
        <v/>
      </c>
      <c r="N17" s="36" t="str">
        <f>IF(OR($D17="",$E17=""),"",IF(AND($D17&lt;=N$7+6,$E17&gt;=N$7),IF('Plan de Tareas'!$J16="Completada",2,1),""))</f>
        <v/>
      </c>
      <c r="O17" s="36" t="str">
        <f>IF(OR($D17="",$E17=""),"",IF(AND($D17&lt;=O$7+6,$E17&gt;=O$7),IF('Plan de Tareas'!$J16="Completada",2,1),""))</f>
        <v/>
      </c>
      <c r="P17" s="36" t="str">
        <f>IF(OR($D17="",$E17=""),"",IF(AND($D17&lt;=P$7+6,$E17&gt;=P$7),IF('Plan de Tareas'!$J16="Completada",2,1),""))</f>
        <v/>
      </c>
      <c r="Q17" s="36" t="str">
        <f>IF(OR($D17="",$E17=""),"",IF(AND($D17&lt;=Q$7+6,$E17&gt;=Q$7),IF('Plan de Tareas'!$J16="Completada",2,1),""))</f>
        <v/>
      </c>
      <c r="R17" s="36" t="str">
        <f>IF(OR($D17="",$E17=""),"",IF(AND($D17&lt;=R$7+6,$E17&gt;=R$7),IF('Plan de Tareas'!$J16="Completada",2,1),""))</f>
        <v/>
      </c>
      <c r="S17" s="36" t="str">
        <f>IF(OR($D17="",$E17=""),"",IF(AND($D17&lt;=S$7+6,$E17&gt;=S$7),IF('Plan de Tareas'!$J16="Completada",2,1),""))</f>
        <v/>
      </c>
      <c r="T17" s="36" t="str">
        <f>IF(OR($D17="",$E17=""),"",IF(AND($D17&lt;=T$7+6,$E17&gt;=T$7),IF('Plan de Tareas'!$J16="Completada",2,1),""))</f>
        <v/>
      </c>
      <c r="U17" s="36" t="str">
        <f>IF(OR($D17="",$E17=""),"",IF(AND($D17&lt;=U$7+6,$E17&gt;=U$7),IF('Plan de Tareas'!$J16="Completada",2,1),""))</f>
        <v/>
      </c>
      <c r="V17" s="36" t="str">
        <f>IF(OR($D17="",$E17=""),"",IF(AND($D17&lt;=V$7+6,$E17&gt;=V$7),IF('Plan de Tareas'!$J16="Completada",2,1),""))</f>
        <v/>
      </c>
      <c r="W17" s="36" t="str">
        <f>IF(OR($D17="",$E17=""),"",IF(AND($D17&lt;=W$7+6,$E17&gt;=W$7),IF('Plan de Tareas'!$J16="Completada",2,1),""))</f>
        <v/>
      </c>
      <c r="X17" s="36" t="str">
        <f>IF(OR($D17="",$E17=""),"",IF(AND($D17&lt;=X$7+6,$E17&gt;=X$7),IF('Plan de Tareas'!$J16="Completada",2,1),""))</f>
        <v/>
      </c>
      <c r="Y17" s="36" t="str">
        <f>IF(OR($D17="",$E17=""),"",IF(AND($D17&lt;=Y$7+6,$E17&gt;=Y$7),IF('Plan de Tareas'!$J16="Completada",2,1),""))</f>
        <v/>
      </c>
      <c r="Z17" s="36" t="str">
        <f>IF(OR($D17="",$E17=""),"",IF(AND($D17&lt;=Z$7+6,$E17&gt;=Z$7),IF('Plan de Tareas'!$J16="Completada",2,1),""))</f>
        <v/>
      </c>
      <c r="AA17" s="36" t="str">
        <f>IF(OR($D17="",$E17=""),"",IF(AND($D17&lt;=AA$7+6,$E17&gt;=AA$7),IF('Plan de Tareas'!$J16="Completada",2,1),""))</f>
        <v/>
      </c>
      <c r="AB17" s="36" t="str">
        <f>IF(OR($D17="",$E17=""),"",IF(AND($D17&lt;=AB$7+6,$E17&gt;=AB$7),IF('Plan de Tareas'!$J16="Completada",2,1),""))</f>
        <v/>
      </c>
      <c r="AC17" s="36" t="str">
        <f>IF(OR($D17="",$E17=""),"",IF(AND($D17&lt;=AC$7+6,$E17&gt;=AC$7),IF('Plan de Tareas'!$J16="Completada",2,1),""))</f>
        <v/>
      </c>
      <c r="AD17" s="36" t="str">
        <f>IF(OR($D17="",$E17=""),"",IF(AND($D17&lt;=AD$7+6,$E17&gt;=AD$7),IF('Plan de Tareas'!$J16="Completada",2,1),""))</f>
        <v/>
      </c>
      <c r="AE17" s="36" t="str">
        <f>IF(OR($D17="",$E17=""),"",IF(AND($D17&lt;=AE$7+6,$E17&gt;=AE$7),IF('Plan de Tareas'!$J16="Completada",2,1),""))</f>
        <v/>
      </c>
    </row>
    <row r="18" spans="1:31" ht="15" customHeight="1" x14ac:dyDescent="0.3">
      <c r="A18" s="34" t="str">
        <f>IF('Plan de Tareas'!$C17="","",'Plan de Tareas'!$A17)</f>
        <v/>
      </c>
      <c r="B18" s="20" t="str">
        <f>IF('Plan de Tareas'!$C17="","",'Plan de Tareas'!$C17)</f>
        <v/>
      </c>
      <c r="C18" s="20" t="str">
        <f>IF('Plan de Tareas'!$C17="","",'Plan de Tareas'!$D17)</f>
        <v/>
      </c>
      <c r="D18" s="35" t="str">
        <f>IF('Plan de Tareas'!$F17="","",'Plan de Tareas'!$F17)</f>
        <v/>
      </c>
      <c r="E18" s="35" t="str">
        <f>IF('Plan de Tareas'!$G17="","",'Plan de Tareas'!$G17)</f>
        <v/>
      </c>
      <c r="F18" s="36" t="str">
        <f>IF(OR($D18="",$E18=""),"",IF(AND($D18&lt;=F$7+6,$E18&gt;=F$7),IF('Plan de Tareas'!$J17="Completada",2,1),""))</f>
        <v/>
      </c>
      <c r="G18" s="36" t="str">
        <f>IF(OR($D18="",$E18=""),"",IF(AND($D18&lt;=G$7+6,$E18&gt;=G$7),IF('Plan de Tareas'!$J17="Completada",2,1),""))</f>
        <v/>
      </c>
      <c r="H18" s="36" t="str">
        <f>IF(OR($D18="",$E18=""),"",IF(AND($D18&lt;=H$7+6,$E18&gt;=H$7),IF('Plan de Tareas'!$J17="Completada",2,1),""))</f>
        <v/>
      </c>
      <c r="I18" s="36" t="str">
        <f>IF(OR($D18="",$E18=""),"",IF(AND($D18&lt;=I$7+6,$E18&gt;=I$7),IF('Plan de Tareas'!$J17="Completada",2,1),""))</f>
        <v/>
      </c>
      <c r="J18" s="36" t="str">
        <f>IF(OR($D18="",$E18=""),"",IF(AND($D18&lt;=J$7+6,$E18&gt;=J$7),IF('Plan de Tareas'!$J17="Completada",2,1),""))</f>
        <v/>
      </c>
      <c r="K18" s="36" t="str">
        <f>IF(OR($D18="",$E18=""),"",IF(AND($D18&lt;=K$7+6,$E18&gt;=K$7),IF('Plan de Tareas'!$J17="Completada",2,1),""))</f>
        <v/>
      </c>
      <c r="L18" s="36" t="str">
        <f>IF(OR($D18="",$E18=""),"",IF(AND($D18&lt;=L$7+6,$E18&gt;=L$7),IF('Plan de Tareas'!$J17="Completada",2,1),""))</f>
        <v/>
      </c>
      <c r="M18" s="36" t="str">
        <f>IF(OR($D18="",$E18=""),"",IF(AND($D18&lt;=M$7+6,$E18&gt;=M$7),IF('Plan de Tareas'!$J17="Completada",2,1),""))</f>
        <v/>
      </c>
      <c r="N18" s="36" t="str">
        <f>IF(OR($D18="",$E18=""),"",IF(AND($D18&lt;=N$7+6,$E18&gt;=N$7),IF('Plan de Tareas'!$J17="Completada",2,1),""))</f>
        <v/>
      </c>
      <c r="O18" s="36" t="str">
        <f>IF(OR($D18="",$E18=""),"",IF(AND($D18&lt;=O$7+6,$E18&gt;=O$7),IF('Plan de Tareas'!$J17="Completada",2,1),""))</f>
        <v/>
      </c>
      <c r="P18" s="36" t="str">
        <f>IF(OR($D18="",$E18=""),"",IF(AND($D18&lt;=P$7+6,$E18&gt;=P$7),IF('Plan de Tareas'!$J17="Completada",2,1),""))</f>
        <v/>
      </c>
      <c r="Q18" s="36" t="str">
        <f>IF(OR($D18="",$E18=""),"",IF(AND($D18&lt;=Q$7+6,$E18&gt;=Q$7),IF('Plan de Tareas'!$J17="Completada",2,1),""))</f>
        <v/>
      </c>
      <c r="R18" s="36" t="str">
        <f>IF(OR($D18="",$E18=""),"",IF(AND($D18&lt;=R$7+6,$E18&gt;=R$7),IF('Plan de Tareas'!$J17="Completada",2,1),""))</f>
        <v/>
      </c>
      <c r="S18" s="36" t="str">
        <f>IF(OR($D18="",$E18=""),"",IF(AND($D18&lt;=S$7+6,$E18&gt;=S$7),IF('Plan de Tareas'!$J17="Completada",2,1),""))</f>
        <v/>
      </c>
      <c r="T18" s="36" t="str">
        <f>IF(OR($D18="",$E18=""),"",IF(AND($D18&lt;=T$7+6,$E18&gt;=T$7),IF('Plan de Tareas'!$J17="Completada",2,1),""))</f>
        <v/>
      </c>
      <c r="U18" s="36" t="str">
        <f>IF(OR($D18="",$E18=""),"",IF(AND($D18&lt;=U$7+6,$E18&gt;=U$7),IF('Plan de Tareas'!$J17="Completada",2,1),""))</f>
        <v/>
      </c>
      <c r="V18" s="36" t="str">
        <f>IF(OR($D18="",$E18=""),"",IF(AND($D18&lt;=V$7+6,$E18&gt;=V$7),IF('Plan de Tareas'!$J17="Completada",2,1),""))</f>
        <v/>
      </c>
      <c r="W18" s="36" t="str">
        <f>IF(OR($D18="",$E18=""),"",IF(AND($D18&lt;=W$7+6,$E18&gt;=W$7),IF('Plan de Tareas'!$J17="Completada",2,1),""))</f>
        <v/>
      </c>
      <c r="X18" s="36" t="str">
        <f>IF(OR($D18="",$E18=""),"",IF(AND($D18&lt;=X$7+6,$E18&gt;=X$7),IF('Plan de Tareas'!$J17="Completada",2,1),""))</f>
        <v/>
      </c>
      <c r="Y18" s="36" t="str">
        <f>IF(OR($D18="",$E18=""),"",IF(AND($D18&lt;=Y$7+6,$E18&gt;=Y$7),IF('Plan de Tareas'!$J17="Completada",2,1),""))</f>
        <v/>
      </c>
      <c r="Z18" s="36" t="str">
        <f>IF(OR($D18="",$E18=""),"",IF(AND($D18&lt;=Z$7+6,$E18&gt;=Z$7),IF('Plan de Tareas'!$J17="Completada",2,1),""))</f>
        <v/>
      </c>
      <c r="AA18" s="36" t="str">
        <f>IF(OR($D18="",$E18=""),"",IF(AND($D18&lt;=AA$7+6,$E18&gt;=AA$7),IF('Plan de Tareas'!$J17="Completada",2,1),""))</f>
        <v/>
      </c>
      <c r="AB18" s="36" t="str">
        <f>IF(OR($D18="",$E18=""),"",IF(AND($D18&lt;=AB$7+6,$E18&gt;=AB$7),IF('Plan de Tareas'!$J17="Completada",2,1),""))</f>
        <v/>
      </c>
      <c r="AC18" s="36" t="str">
        <f>IF(OR($D18="",$E18=""),"",IF(AND($D18&lt;=AC$7+6,$E18&gt;=AC$7),IF('Plan de Tareas'!$J17="Completada",2,1),""))</f>
        <v/>
      </c>
      <c r="AD18" s="36" t="str">
        <f>IF(OR($D18="",$E18=""),"",IF(AND($D18&lt;=AD$7+6,$E18&gt;=AD$7),IF('Plan de Tareas'!$J17="Completada",2,1),""))</f>
        <v/>
      </c>
      <c r="AE18" s="36" t="str">
        <f>IF(OR($D18="",$E18=""),"",IF(AND($D18&lt;=AE$7+6,$E18&gt;=AE$7),IF('Plan de Tareas'!$J17="Completada",2,1),""))</f>
        <v/>
      </c>
    </row>
    <row r="19" spans="1:31" ht="15" customHeight="1" x14ac:dyDescent="0.3">
      <c r="A19" s="37" t="str">
        <f>IF('Plan de Tareas'!$C18="","",'Plan de Tareas'!$A18)</f>
        <v/>
      </c>
      <c r="B19" s="26" t="str">
        <f>IF('Plan de Tareas'!$C18="","",'Plan de Tareas'!$C18)</f>
        <v/>
      </c>
      <c r="C19" s="26" t="str">
        <f>IF('Plan de Tareas'!$C18="","",'Plan de Tareas'!$D18)</f>
        <v/>
      </c>
      <c r="D19" s="38" t="str">
        <f>IF('Plan de Tareas'!$F18="","",'Plan de Tareas'!$F18)</f>
        <v/>
      </c>
      <c r="E19" s="38" t="str">
        <f>IF('Plan de Tareas'!$G18="","",'Plan de Tareas'!$G18)</f>
        <v/>
      </c>
      <c r="F19" s="36" t="str">
        <f>IF(OR($D19="",$E19=""),"",IF(AND($D19&lt;=F$7+6,$E19&gt;=F$7),IF('Plan de Tareas'!$J18="Completada",2,1),""))</f>
        <v/>
      </c>
      <c r="G19" s="36" t="str">
        <f>IF(OR($D19="",$E19=""),"",IF(AND($D19&lt;=G$7+6,$E19&gt;=G$7),IF('Plan de Tareas'!$J18="Completada",2,1),""))</f>
        <v/>
      </c>
      <c r="H19" s="36" t="str">
        <f>IF(OR($D19="",$E19=""),"",IF(AND($D19&lt;=H$7+6,$E19&gt;=H$7),IF('Plan de Tareas'!$J18="Completada",2,1),""))</f>
        <v/>
      </c>
      <c r="I19" s="36" t="str">
        <f>IF(OR($D19="",$E19=""),"",IF(AND($D19&lt;=I$7+6,$E19&gt;=I$7),IF('Plan de Tareas'!$J18="Completada",2,1),""))</f>
        <v/>
      </c>
      <c r="J19" s="36" t="str">
        <f>IF(OR($D19="",$E19=""),"",IF(AND($D19&lt;=J$7+6,$E19&gt;=J$7),IF('Plan de Tareas'!$J18="Completada",2,1),""))</f>
        <v/>
      </c>
      <c r="K19" s="36" t="str">
        <f>IF(OR($D19="",$E19=""),"",IF(AND($D19&lt;=K$7+6,$E19&gt;=K$7),IF('Plan de Tareas'!$J18="Completada",2,1),""))</f>
        <v/>
      </c>
      <c r="L19" s="36" t="str">
        <f>IF(OR($D19="",$E19=""),"",IF(AND($D19&lt;=L$7+6,$E19&gt;=L$7),IF('Plan de Tareas'!$J18="Completada",2,1),""))</f>
        <v/>
      </c>
      <c r="M19" s="36" t="str">
        <f>IF(OR($D19="",$E19=""),"",IF(AND($D19&lt;=M$7+6,$E19&gt;=M$7),IF('Plan de Tareas'!$J18="Completada",2,1),""))</f>
        <v/>
      </c>
      <c r="N19" s="36" t="str">
        <f>IF(OR($D19="",$E19=""),"",IF(AND($D19&lt;=N$7+6,$E19&gt;=N$7),IF('Plan de Tareas'!$J18="Completada",2,1),""))</f>
        <v/>
      </c>
      <c r="O19" s="36" t="str">
        <f>IF(OR($D19="",$E19=""),"",IF(AND($D19&lt;=O$7+6,$E19&gt;=O$7),IF('Plan de Tareas'!$J18="Completada",2,1),""))</f>
        <v/>
      </c>
      <c r="P19" s="36" t="str">
        <f>IF(OR($D19="",$E19=""),"",IF(AND($D19&lt;=P$7+6,$E19&gt;=P$7),IF('Plan de Tareas'!$J18="Completada",2,1),""))</f>
        <v/>
      </c>
      <c r="Q19" s="36" t="str">
        <f>IF(OR($D19="",$E19=""),"",IF(AND($D19&lt;=Q$7+6,$E19&gt;=Q$7),IF('Plan de Tareas'!$J18="Completada",2,1),""))</f>
        <v/>
      </c>
      <c r="R19" s="36" t="str">
        <f>IF(OR($D19="",$E19=""),"",IF(AND($D19&lt;=R$7+6,$E19&gt;=R$7),IF('Plan de Tareas'!$J18="Completada",2,1),""))</f>
        <v/>
      </c>
      <c r="S19" s="36" t="str">
        <f>IF(OR($D19="",$E19=""),"",IF(AND($D19&lt;=S$7+6,$E19&gt;=S$7),IF('Plan de Tareas'!$J18="Completada",2,1),""))</f>
        <v/>
      </c>
      <c r="T19" s="36" t="str">
        <f>IF(OR($D19="",$E19=""),"",IF(AND($D19&lt;=T$7+6,$E19&gt;=T$7),IF('Plan de Tareas'!$J18="Completada",2,1),""))</f>
        <v/>
      </c>
      <c r="U19" s="36" t="str">
        <f>IF(OR($D19="",$E19=""),"",IF(AND($D19&lt;=U$7+6,$E19&gt;=U$7),IF('Plan de Tareas'!$J18="Completada",2,1),""))</f>
        <v/>
      </c>
      <c r="V19" s="36" t="str">
        <f>IF(OR($D19="",$E19=""),"",IF(AND($D19&lt;=V$7+6,$E19&gt;=V$7),IF('Plan de Tareas'!$J18="Completada",2,1),""))</f>
        <v/>
      </c>
      <c r="W19" s="36" t="str">
        <f>IF(OR($D19="",$E19=""),"",IF(AND($D19&lt;=W$7+6,$E19&gt;=W$7),IF('Plan de Tareas'!$J18="Completada",2,1),""))</f>
        <v/>
      </c>
      <c r="X19" s="36" t="str">
        <f>IF(OR($D19="",$E19=""),"",IF(AND($D19&lt;=X$7+6,$E19&gt;=X$7),IF('Plan de Tareas'!$J18="Completada",2,1),""))</f>
        <v/>
      </c>
      <c r="Y19" s="36" t="str">
        <f>IF(OR($D19="",$E19=""),"",IF(AND($D19&lt;=Y$7+6,$E19&gt;=Y$7),IF('Plan de Tareas'!$J18="Completada",2,1),""))</f>
        <v/>
      </c>
      <c r="Z19" s="36" t="str">
        <f>IF(OR($D19="",$E19=""),"",IF(AND($D19&lt;=Z$7+6,$E19&gt;=Z$7),IF('Plan de Tareas'!$J18="Completada",2,1),""))</f>
        <v/>
      </c>
      <c r="AA19" s="36" t="str">
        <f>IF(OR($D19="",$E19=""),"",IF(AND($D19&lt;=AA$7+6,$E19&gt;=AA$7),IF('Plan de Tareas'!$J18="Completada",2,1),""))</f>
        <v/>
      </c>
      <c r="AB19" s="36" t="str">
        <f>IF(OR($D19="",$E19=""),"",IF(AND($D19&lt;=AB$7+6,$E19&gt;=AB$7),IF('Plan de Tareas'!$J18="Completada",2,1),""))</f>
        <v/>
      </c>
      <c r="AC19" s="36" t="str">
        <f>IF(OR($D19="",$E19=""),"",IF(AND($D19&lt;=AC$7+6,$E19&gt;=AC$7),IF('Plan de Tareas'!$J18="Completada",2,1),""))</f>
        <v/>
      </c>
      <c r="AD19" s="36" t="str">
        <f>IF(OR($D19="",$E19=""),"",IF(AND($D19&lt;=AD$7+6,$E19&gt;=AD$7),IF('Plan de Tareas'!$J18="Completada",2,1),""))</f>
        <v/>
      </c>
      <c r="AE19" s="36" t="str">
        <f>IF(OR($D19="",$E19=""),"",IF(AND($D19&lt;=AE$7+6,$E19&gt;=AE$7),IF('Plan de Tareas'!$J18="Completada",2,1),""))</f>
        <v/>
      </c>
    </row>
    <row r="20" spans="1:31" ht="15" customHeight="1" x14ac:dyDescent="0.3">
      <c r="A20" s="34" t="str">
        <f>IF('Plan de Tareas'!$C19="","",'Plan de Tareas'!$A19)</f>
        <v/>
      </c>
      <c r="B20" s="20" t="str">
        <f>IF('Plan de Tareas'!$C19="","",'Plan de Tareas'!$C19)</f>
        <v/>
      </c>
      <c r="C20" s="20" t="str">
        <f>IF('Plan de Tareas'!$C19="","",'Plan de Tareas'!$D19)</f>
        <v/>
      </c>
      <c r="D20" s="35" t="str">
        <f>IF('Plan de Tareas'!$F19="","",'Plan de Tareas'!$F19)</f>
        <v/>
      </c>
      <c r="E20" s="35" t="str">
        <f>IF('Plan de Tareas'!$G19="","",'Plan de Tareas'!$G19)</f>
        <v/>
      </c>
      <c r="F20" s="36" t="str">
        <f>IF(OR($D20="",$E20=""),"",IF(AND($D20&lt;=F$7+6,$E20&gt;=F$7),IF('Plan de Tareas'!$J19="Completada",2,1),""))</f>
        <v/>
      </c>
      <c r="G20" s="36" t="str">
        <f>IF(OR($D20="",$E20=""),"",IF(AND($D20&lt;=G$7+6,$E20&gt;=G$7),IF('Plan de Tareas'!$J19="Completada",2,1),""))</f>
        <v/>
      </c>
      <c r="H20" s="36" t="str">
        <f>IF(OR($D20="",$E20=""),"",IF(AND($D20&lt;=H$7+6,$E20&gt;=H$7),IF('Plan de Tareas'!$J19="Completada",2,1),""))</f>
        <v/>
      </c>
      <c r="I20" s="36" t="str">
        <f>IF(OR($D20="",$E20=""),"",IF(AND($D20&lt;=I$7+6,$E20&gt;=I$7),IF('Plan de Tareas'!$J19="Completada",2,1),""))</f>
        <v/>
      </c>
      <c r="J20" s="36" t="str">
        <f>IF(OR($D20="",$E20=""),"",IF(AND($D20&lt;=J$7+6,$E20&gt;=J$7),IF('Plan de Tareas'!$J19="Completada",2,1),""))</f>
        <v/>
      </c>
      <c r="K20" s="36" t="str">
        <f>IF(OR($D20="",$E20=""),"",IF(AND($D20&lt;=K$7+6,$E20&gt;=K$7),IF('Plan de Tareas'!$J19="Completada",2,1),""))</f>
        <v/>
      </c>
      <c r="L20" s="36" t="str">
        <f>IF(OR($D20="",$E20=""),"",IF(AND($D20&lt;=L$7+6,$E20&gt;=L$7),IF('Plan de Tareas'!$J19="Completada",2,1),""))</f>
        <v/>
      </c>
      <c r="M20" s="36" t="str">
        <f>IF(OR($D20="",$E20=""),"",IF(AND($D20&lt;=M$7+6,$E20&gt;=M$7),IF('Plan de Tareas'!$J19="Completada",2,1),""))</f>
        <v/>
      </c>
      <c r="N20" s="36" t="str">
        <f>IF(OR($D20="",$E20=""),"",IF(AND($D20&lt;=N$7+6,$E20&gt;=N$7),IF('Plan de Tareas'!$J19="Completada",2,1),""))</f>
        <v/>
      </c>
      <c r="O20" s="36" t="str">
        <f>IF(OR($D20="",$E20=""),"",IF(AND($D20&lt;=O$7+6,$E20&gt;=O$7),IF('Plan de Tareas'!$J19="Completada",2,1),""))</f>
        <v/>
      </c>
      <c r="P20" s="36" t="str">
        <f>IF(OR($D20="",$E20=""),"",IF(AND($D20&lt;=P$7+6,$E20&gt;=P$7),IF('Plan de Tareas'!$J19="Completada",2,1),""))</f>
        <v/>
      </c>
      <c r="Q20" s="36" t="str">
        <f>IF(OR($D20="",$E20=""),"",IF(AND($D20&lt;=Q$7+6,$E20&gt;=Q$7),IF('Plan de Tareas'!$J19="Completada",2,1),""))</f>
        <v/>
      </c>
      <c r="R20" s="36" t="str">
        <f>IF(OR($D20="",$E20=""),"",IF(AND($D20&lt;=R$7+6,$E20&gt;=R$7),IF('Plan de Tareas'!$J19="Completada",2,1),""))</f>
        <v/>
      </c>
      <c r="S20" s="36" t="str">
        <f>IF(OR($D20="",$E20=""),"",IF(AND($D20&lt;=S$7+6,$E20&gt;=S$7),IF('Plan de Tareas'!$J19="Completada",2,1),""))</f>
        <v/>
      </c>
      <c r="T20" s="36" t="str">
        <f>IF(OR($D20="",$E20=""),"",IF(AND($D20&lt;=T$7+6,$E20&gt;=T$7),IF('Plan de Tareas'!$J19="Completada",2,1),""))</f>
        <v/>
      </c>
      <c r="U20" s="36" t="str">
        <f>IF(OR($D20="",$E20=""),"",IF(AND($D20&lt;=U$7+6,$E20&gt;=U$7),IF('Plan de Tareas'!$J19="Completada",2,1),""))</f>
        <v/>
      </c>
      <c r="V20" s="36" t="str">
        <f>IF(OR($D20="",$E20=""),"",IF(AND($D20&lt;=V$7+6,$E20&gt;=V$7),IF('Plan de Tareas'!$J19="Completada",2,1),""))</f>
        <v/>
      </c>
      <c r="W20" s="36" t="str">
        <f>IF(OR($D20="",$E20=""),"",IF(AND($D20&lt;=W$7+6,$E20&gt;=W$7),IF('Plan de Tareas'!$J19="Completada",2,1),""))</f>
        <v/>
      </c>
      <c r="X20" s="36" t="str">
        <f>IF(OR($D20="",$E20=""),"",IF(AND($D20&lt;=X$7+6,$E20&gt;=X$7),IF('Plan de Tareas'!$J19="Completada",2,1),""))</f>
        <v/>
      </c>
      <c r="Y20" s="36" t="str">
        <f>IF(OR($D20="",$E20=""),"",IF(AND($D20&lt;=Y$7+6,$E20&gt;=Y$7),IF('Plan de Tareas'!$J19="Completada",2,1),""))</f>
        <v/>
      </c>
      <c r="Z20" s="36" t="str">
        <f>IF(OR($D20="",$E20=""),"",IF(AND($D20&lt;=Z$7+6,$E20&gt;=Z$7),IF('Plan de Tareas'!$J19="Completada",2,1),""))</f>
        <v/>
      </c>
      <c r="AA20" s="36" t="str">
        <f>IF(OR($D20="",$E20=""),"",IF(AND($D20&lt;=AA$7+6,$E20&gt;=AA$7),IF('Plan de Tareas'!$J19="Completada",2,1),""))</f>
        <v/>
      </c>
      <c r="AB20" s="36" t="str">
        <f>IF(OR($D20="",$E20=""),"",IF(AND($D20&lt;=AB$7+6,$E20&gt;=AB$7),IF('Plan de Tareas'!$J19="Completada",2,1),""))</f>
        <v/>
      </c>
      <c r="AC20" s="36" t="str">
        <f>IF(OR($D20="",$E20=""),"",IF(AND($D20&lt;=AC$7+6,$E20&gt;=AC$7),IF('Plan de Tareas'!$J19="Completada",2,1),""))</f>
        <v/>
      </c>
      <c r="AD20" s="36" t="str">
        <f>IF(OR($D20="",$E20=""),"",IF(AND($D20&lt;=AD$7+6,$E20&gt;=AD$7),IF('Plan de Tareas'!$J19="Completada",2,1),""))</f>
        <v/>
      </c>
      <c r="AE20" s="36" t="str">
        <f>IF(OR($D20="",$E20=""),"",IF(AND($D20&lt;=AE$7+6,$E20&gt;=AE$7),IF('Plan de Tareas'!$J19="Completada",2,1),""))</f>
        <v/>
      </c>
    </row>
    <row r="21" spans="1:31" ht="15" customHeight="1" x14ac:dyDescent="0.3">
      <c r="A21" s="37" t="str">
        <f>IF('Plan de Tareas'!$C20="","",'Plan de Tareas'!$A20)</f>
        <v/>
      </c>
      <c r="B21" s="26" t="str">
        <f>IF('Plan de Tareas'!$C20="","",'Plan de Tareas'!$C20)</f>
        <v/>
      </c>
      <c r="C21" s="26" t="str">
        <f>IF('Plan de Tareas'!$C20="","",'Plan de Tareas'!$D20)</f>
        <v/>
      </c>
      <c r="D21" s="38" t="str">
        <f>IF('Plan de Tareas'!$F20="","",'Plan de Tareas'!$F20)</f>
        <v/>
      </c>
      <c r="E21" s="38" t="str">
        <f>IF('Plan de Tareas'!$G20="","",'Plan de Tareas'!$G20)</f>
        <v/>
      </c>
      <c r="F21" s="36" t="str">
        <f>IF(OR($D21="",$E21=""),"",IF(AND($D21&lt;=F$7+6,$E21&gt;=F$7),IF('Plan de Tareas'!$J20="Completada",2,1),""))</f>
        <v/>
      </c>
      <c r="G21" s="36" t="str">
        <f>IF(OR($D21="",$E21=""),"",IF(AND($D21&lt;=G$7+6,$E21&gt;=G$7),IF('Plan de Tareas'!$J20="Completada",2,1),""))</f>
        <v/>
      </c>
      <c r="H21" s="36" t="str">
        <f>IF(OR($D21="",$E21=""),"",IF(AND($D21&lt;=H$7+6,$E21&gt;=H$7),IF('Plan de Tareas'!$J20="Completada",2,1),""))</f>
        <v/>
      </c>
      <c r="I21" s="36" t="str">
        <f>IF(OR($D21="",$E21=""),"",IF(AND($D21&lt;=I$7+6,$E21&gt;=I$7),IF('Plan de Tareas'!$J20="Completada",2,1),""))</f>
        <v/>
      </c>
      <c r="J21" s="36" t="str">
        <f>IF(OR($D21="",$E21=""),"",IF(AND($D21&lt;=J$7+6,$E21&gt;=J$7),IF('Plan de Tareas'!$J20="Completada",2,1),""))</f>
        <v/>
      </c>
      <c r="K21" s="36" t="str">
        <f>IF(OR($D21="",$E21=""),"",IF(AND($D21&lt;=K$7+6,$E21&gt;=K$7),IF('Plan de Tareas'!$J20="Completada",2,1),""))</f>
        <v/>
      </c>
      <c r="L21" s="36" t="str">
        <f>IF(OR($D21="",$E21=""),"",IF(AND($D21&lt;=L$7+6,$E21&gt;=L$7),IF('Plan de Tareas'!$J20="Completada",2,1),""))</f>
        <v/>
      </c>
      <c r="M21" s="36" t="str">
        <f>IF(OR($D21="",$E21=""),"",IF(AND($D21&lt;=M$7+6,$E21&gt;=M$7),IF('Plan de Tareas'!$J20="Completada",2,1),""))</f>
        <v/>
      </c>
      <c r="N21" s="36" t="str">
        <f>IF(OR($D21="",$E21=""),"",IF(AND($D21&lt;=N$7+6,$E21&gt;=N$7),IF('Plan de Tareas'!$J20="Completada",2,1),""))</f>
        <v/>
      </c>
      <c r="O21" s="36" t="str">
        <f>IF(OR($D21="",$E21=""),"",IF(AND($D21&lt;=O$7+6,$E21&gt;=O$7),IF('Plan de Tareas'!$J20="Completada",2,1),""))</f>
        <v/>
      </c>
      <c r="P21" s="36" t="str">
        <f>IF(OR($D21="",$E21=""),"",IF(AND($D21&lt;=P$7+6,$E21&gt;=P$7),IF('Plan de Tareas'!$J20="Completada",2,1),""))</f>
        <v/>
      </c>
      <c r="Q21" s="36" t="str">
        <f>IF(OR($D21="",$E21=""),"",IF(AND($D21&lt;=Q$7+6,$E21&gt;=Q$7),IF('Plan de Tareas'!$J20="Completada",2,1),""))</f>
        <v/>
      </c>
      <c r="R21" s="36" t="str">
        <f>IF(OR($D21="",$E21=""),"",IF(AND($D21&lt;=R$7+6,$E21&gt;=R$7),IF('Plan de Tareas'!$J20="Completada",2,1),""))</f>
        <v/>
      </c>
      <c r="S21" s="36" t="str">
        <f>IF(OR($D21="",$E21=""),"",IF(AND($D21&lt;=S$7+6,$E21&gt;=S$7),IF('Plan de Tareas'!$J20="Completada",2,1),""))</f>
        <v/>
      </c>
      <c r="T21" s="36" t="str">
        <f>IF(OR($D21="",$E21=""),"",IF(AND($D21&lt;=T$7+6,$E21&gt;=T$7),IF('Plan de Tareas'!$J20="Completada",2,1),""))</f>
        <v/>
      </c>
      <c r="U21" s="36" t="str">
        <f>IF(OR($D21="",$E21=""),"",IF(AND($D21&lt;=U$7+6,$E21&gt;=U$7),IF('Plan de Tareas'!$J20="Completada",2,1),""))</f>
        <v/>
      </c>
      <c r="V21" s="36" t="str">
        <f>IF(OR($D21="",$E21=""),"",IF(AND($D21&lt;=V$7+6,$E21&gt;=V$7),IF('Plan de Tareas'!$J20="Completada",2,1),""))</f>
        <v/>
      </c>
      <c r="W21" s="36" t="str">
        <f>IF(OR($D21="",$E21=""),"",IF(AND($D21&lt;=W$7+6,$E21&gt;=W$7),IF('Plan de Tareas'!$J20="Completada",2,1),""))</f>
        <v/>
      </c>
      <c r="X21" s="36" t="str">
        <f>IF(OR($D21="",$E21=""),"",IF(AND($D21&lt;=X$7+6,$E21&gt;=X$7),IF('Plan de Tareas'!$J20="Completada",2,1),""))</f>
        <v/>
      </c>
      <c r="Y21" s="36" t="str">
        <f>IF(OR($D21="",$E21=""),"",IF(AND($D21&lt;=Y$7+6,$E21&gt;=Y$7),IF('Plan de Tareas'!$J20="Completada",2,1),""))</f>
        <v/>
      </c>
      <c r="Z21" s="36" t="str">
        <f>IF(OR($D21="",$E21=""),"",IF(AND($D21&lt;=Z$7+6,$E21&gt;=Z$7),IF('Plan de Tareas'!$J20="Completada",2,1),""))</f>
        <v/>
      </c>
      <c r="AA21" s="36" t="str">
        <f>IF(OR($D21="",$E21=""),"",IF(AND($D21&lt;=AA$7+6,$E21&gt;=AA$7),IF('Plan de Tareas'!$J20="Completada",2,1),""))</f>
        <v/>
      </c>
      <c r="AB21" s="36" t="str">
        <f>IF(OR($D21="",$E21=""),"",IF(AND($D21&lt;=AB$7+6,$E21&gt;=AB$7),IF('Plan de Tareas'!$J20="Completada",2,1),""))</f>
        <v/>
      </c>
      <c r="AC21" s="36" t="str">
        <f>IF(OR($D21="",$E21=""),"",IF(AND($D21&lt;=AC$7+6,$E21&gt;=AC$7),IF('Plan de Tareas'!$J20="Completada",2,1),""))</f>
        <v/>
      </c>
      <c r="AD21" s="36" t="str">
        <f>IF(OR($D21="",$E21=""),"",IF(AND($D21&lt;=AD$7+6,$E21&gt;=AD$7),IF('Plan de Tareas'!$J20="Completada",2,1),""))</f>
        <v/>
      </c>
      <c r="AE21" s="36" t="str">
        <f>IF(OR($D21="",$E21=""),"",IF(AND($D21&lt;=AE$7+6,$E21&gt;=AE$7),IF('Plan de Tareas'!$J20="Completada",2,1),""))</f>
        <v/>
      </c>
    </row>
    <row r="22" spans="1:31" ht="15" customHeight="1" x14ac:dyDescent="0.3">
      <c r="A22" s="34" t="str">
        <f>IF('Plan de Tareas'!$C21="","",'Plan de Tareas'!$A21)</f>
        <v/>
      </c>
      <c r="B22" s="20" t="str">
        <f>IF('Plan de Tareas'!$C21="","",'Plan de Tareas'!$C21)</f>
        <v/>
      </c>
      <c r="C22" s="20" t="str">
        <f>IF('Plan de Tareas'!$C21="","",'Plan de Tareas'!$D21)</f>
        <v/>
      </c>
      <c r="D22" s="35" t="str">
        <f>IF('Plan de Tareas'!$F21="","",'Plan de Tareas'!$F21)</f>
        <v/>
      </c>
      <c r="E22" s="35" t="str">
        <f>IF('Plan de Tareas'!$G21="","",'Plan de Tareas'!$G21)</f>
        <v/>
      </c>
      <c r="F22" s="36" t="str">
        <f>IF(OR($D22="",$E22=""),"",IF(AND($D22&lt;=F$7+6,$E22&gt;=F$7),IF('Plan de Tareas'!$J21="Completada",2,1),""))</f>
        <v/>
      </c>
      <c r="G22" s="36" t="str">
        <f>IF(OR($D22="",$E22=""),"",IF(AND($D22&lt;=G$7+6,$E22&gt;=G$7),IF('Plan de Tareas'!$J21="Completada",2,1),""))</f>
        <v/>
      </c>
      <c r="H22" s="36" t="str">
        <f>IF(OR($D22="",$E22=""),"",IF(AND($D22&lt;=H$7+6,$E22&gt;=H$7),IF('Plan de Tareas'!$J21="Completada",2,1),""))</f>
        <v/>
      </c>
      <c r="I22" s="36" t="str">
        <f>IF(OR($D22="",$E22=""),"",IF(AND($D22&lt;=I$7+6,$E22&gt;=I$7),IF('Plan de Tareas'!$J21="Completada",2,1),""))</f>
        <v/>
      </c>
      <c r="J22" s="36" t="str">
        <f>IF(OR($D22="",$E22=""),"",IF(AND($D22&lt;=J$7+6,$E22&gt;=J$7),IF('Plan de Tareas'!$J21="Completada",2,1),""))</f>
        <v/>
      </c>
      <c r="K22" s="36" t="str">
        <f>IF(OR($D22="",$E22=""),"",IF(AND($D22&lt;=K$7+6,$E22&gt;=K$7),IF('Plan de Tareas'!$J21="Completada",2,1),""))</f>
        <v/>
      </c>
      <c r="L22" s="36" t="str">
        <f>IF(OR($D22="",$E22=""),"",IF(AND($D22&lt;=L$7+6,$E22&gt;=L$7),IF('Plan de Tareas'!$J21="Completada",2,1),""))</f>
        <v/>
      </c>
      <c r="M22" s="36" t="str">
        <f>IF(OR($D22="",$E22=""),"",IF(AND($D22&lt;=M$7+6,$E22&gt;=M$7),IF('Plan de Tareas'!$J21="Completada",2,1),""))</f>
        <v/>
      </c>
      <c r="N22" s="36" t="str">
        <f>IF(OR($D22="",$E22=""),"",IF(AND($D22&lt;=N$7+6,$E22&gt;=N$7),IF('Plan de Tareas'!$J21="Completada",2,1),""))</f>
        <v/>
      </c>
      <c r="O22" s="36" t="str">
        <f>IF(OR($D22="",$E22=""),"",IF(AND($D22&lt;=O$7+6,$E22&gt;=O$7),IF('Plan de Tareas'!$J21="Completada",2,1),""))</f>
        <v/>
      </c>
      <c r="P22" s="36" t="str">
        <f>IF(OR($D22="",$E22=""),"",IF(AND($D22&lt;=P$7+6,$E22&gt;=P$7),IF('Plan de Tareas'!$J21="Completada",2,1),""))</f>
        <v/>
      </c>
      <c r="Q22" s="36" t="str">
        <f>IF(OR($D22="",$E22=""),"",IF(AND($D22&lt;=Q$7+6,$E22&gt;=Q$7),IF('Plan de Tareas'!$J21="Completada",2,1),""))</f>
        <v/>
      </c>
      <c r="R22" s="36" t="str">
        <f>IF(OR($D22="",$E22=""),"",IF(AND($D22&lt;=R$7+6,$E22&gt;=R$7),IF('Plan de Tareas'!$J21="Completada",2,1),""))</f>
        <v/>
      </c>
      <c r="S22" s="36" t="str">
        <f>IF(OR($D22="",$E22=""),"",IF(AND($D22&lt;=S$7+6,$E22&gt;=S$7),IF('Plan de Tareas'!$J21="Completada",2,1),""))</f>
        <v/>
      </c>
      <c r="T22" s="36" t="str">
        <f>IF(OR($D22="",$E22=""),"",IF(AND($D22&lt;=T$7+6,$E22&gt;=T$7),IF('Plan de Tareas'!$J21="Completada",2,1),""))</f>
        <v/>
      </c>
      <c r="U22" s="36" t="str">
        <f>IF(OR($D22="",$E22=""),"",IF(AND($D22&lt;=U$7+6,$E22&gt;=U$7),IF('Plan de Tareas'!$J21="Completada",2,1),""))</f>
        <v/>
      </c>
      <c r="V22" s="36" t="str">
        <f>IF(OR($D22="",$E22=""),"",IF(AND($D22&lt;=V$7+6,$E22&gt;=V$7),IF('Plan de Tareas'!$J21="Completada",2,1),""))</f>
        <v/>
      </c>
      <c r="W22" s="36" t="str">
        <f>IF(OR($D22="",$E22=""),"",IF(AND($D22&lt;=W$7+6,$E22&gt;=W$7),IF('Plan de Tareas'!$J21="Completada",2,1),""))</f>
        <v/>
      </c>
      <c r="X22" s="36" t="str">
        <f>IF(OR($D22="",$E22=""),"",IF(AND($D22&lt;=X$7+6,$E22&gt;=X$7),IF('Plan de Tareas'!$J21="Completada",2,1),""))</f>
        <v/>
      </c>
      <c r="Y22" s="36" t="str">
        <f>IF(OR($D22="",$E22=""),"",IF(AND($D22&lt;=Y$7+6,$E22&gt;=Y$7),IF('Plan de Tareas'!$J21="Completada",2,1),""))</f>
        <v/>
      </c>
      <c r="Z22" s="36" t="str">
        <f>IF(OR($D22="",$E22=""),"",IF(AND($D22&lt;=Z$7+6,$E22&gt;=Z$7),IF('Plan de Tareas'!$J21="Completada",2,1),""))</f>
        <v/>
      </c>
      <c r="AA22" s="36" t="str">
        <f>IF(OR($D22="",$E22=""),"",IF(AND($D22&lt;=AA$7+6,$E22&gt;=AA$7),IF('Plan de Tareas'!$J21="Completada",2,1),""))</f>
        <v/>
      </c>
      <c r="AB22" s="36" t="str">
        <f>IF(OR($D22="",$E22=""),"",IF(AND($D22&lt;=AB$7+6,$E22&gt;=AB$7),IF('Plan de Tareas'!$J21="Completada",2,1),""))</f>
        <v/>
      </c>
      <c r="AC22" s="36" t="str">
        <f>IF(OR($D22="",$E22=""),"",IF(AND($D22&lt;=AC$7+6,$E22&gt;=AC$7),IF('Plan de Tareas'!$J21="Completada",2,1),""))</f>
        <v/>
      </c>
      <c r="AD22" s="36" t="str">
        <f>IF(OR($D22="",$E22=""),"",IF(AND($D22&lt;=AD$7+6,$E22&gt;=AD$7),IF('Plan de Tareas'!$J21="Completada",2,1),""))</f>
        <v/>
      </c>
      <c r="AE22" s="36" t="str">
        <f>IF(OR($D22="",$E22=""),"",IF(AND($D22&lt;=AE$7+6,$E22&gt;=AE$7),IF('Plan de Tareas'!$J21="Completada",2,1),""))</f>
        <v/>
      </c>
    </row>
    <row r="23" spans="1:31" ht="15" customHeight="1" x14ac:dyDescent="0.3">
      <c r="A23" s="37" t="str">
        <f>IF('Plan de Tareas'!$C22="","",'Plan de Tareas'!$A22)</f>
        <v/>
      </c>
      <c r="B23" s="26" t="str">
        <f>IF('Plan de Tareas'!$C22="","",'Plan de Tareas'!$C22)</f>
        <v/>
      </c>
      <c r="C23" s="26" t="str">
        <f>IF('Plan de Tareas'!$C22="","",'Plan de Tareas'!$D22)</f>
        <v/>
      </c>
      <c r="D23" s="38" t="str">
        <f>IF('Plan de Tareas'!$F22="","",'Plan de Tareas'!$F22)</f>
        <v/>
      </c>
      <c r="E23" s="38" t="str">
        <f>IF('Plan de Tareas'!$G22="","",'Plan de Tareas'!$G22)</f>
        <v/>
      </c>
      <c r="F23" s="36" t="str">
        <f>IF(OR($D23="",$E23=""),"",IF(AND($D23&lt;=F$7+6,$E23&gt;=F$7),IF('Plan de Tareas'!$J22="Completada",2,1),""))</f>
        <v/>
      </c>
      <c r="G23" s="36" t="str">
        <f>IF(OR($D23="",$E23=""),"",IF(AND($D23&lt;=G$7+6,$E23&gt;=G$7),IF('Plan de Tareas'!$J22="Completada",2,1),""))</f>
        <v/>
      </c>
      <c r="H23" s="36" t="str">
        <f>IF(OR($D23="",$E23=""),"",IF(AND($D23&lt;=H$7+6,$E23&gt;=H$7),IF('Plan de Tareas'!$J22="Completada",2,1),""))</f>
        <v/>
      </c>
      <c r="I23" s="36" t="str">
        <f>IF(OR($D23="",$E23=""),"",IF(AND($D23&lt;=I$7+6,$E23&gt;=I$7),IF('Plan de Tareas'!$J22="Completada",2,1),""))</f>
        <v/>
      </c>
      <c r="J23" s="36" t="str">
        <f>IF(OR($D23="",$E23=""),"",IF(AND($D23&lt;=J$7+6,$E23&gt;=J$7),IF('Plan de Tareas'!$J22="Completada",2,1),""))</f>
        <v/>
      </c>
      <c r="K23" s="36" t="str">
        <f>IF(OR($D23="",$E23=""),"",IF(AND($D23&lt;=K$7+6,$E23&gt;=K$7),IF('Plan de Tareas'!$J22="Completada",2,1),""))</f>
        <v/>
      </c>
      <c r="L23" s="36" t="str">
        <f>IF(OR($D23="",$E23=""),"",IF(AND($D23&lt;=L$7+6,$E23&gt;=L$7),IF('Plan de Tareas'!$J22="Completada",2,1),""))</f>
        <v/>
      </c>
      <c r="M23" s="36" t="str">
        <f>IF(OR($D23="",$E23=""),"",IF(AND($D23&lt;=M$7+6,$E23&gt;=M$7),IF('Plan de Tareas'!$J22="Completada",2,1),""))</f>
        <v/>
      </c>
      <c r="N23" s="36" t="str">
        <f>IF(OR($D23="",$E23=""),"",IF(AND($D23&lt;=N$7+6,$E23&gt;=N$7),IF('Plan de Tareas'!$J22="Completada",2,1),""))</f>
        <v/>
      </c>
      <c r="O23" s="36" t="str">
        <f>IF(OR($D23="",$E23=""),"",IF(AND($D23&lt;=O$7+6,$E23&gt;=O$7),IF('Plan de Tareas'!$J22="Completada",2,1),""))</f>
        <v/>
      </c>
      <c r="P23" s="36" t="str">
        <f>IF(OR($D23="",$E23=""),"",IF(AND($D23&lt;=P$7+6,$E23&gt;=P$7),IF('Plan de Tareas'!$J22="Completada",2,1),""))</f>
        <v/>
      </c>
      <c r="Q23" s="36" t="str">
        <f>IF(OR($D23="",$E23=""),"",IF(AND($D23&lt;=Q$7+6,$E23&gt;=Q$7),IF('Plan de Tareas'!$J22="Completada",2,1),""))</f>
        <v/>
      </c>
      <c r="R23" s="36" t="str">
        <f>IF(OR($D23="",$E23=""),"",IF(AND($D23&lt;=R$7+6,$E23&gt;=R$7),IF('Plan de Tareas'!$J22="Completada",2,1),""))</f>
        <v/>
      </c>
      <c r="S23" s="36" t="str">
        <f>IF(OR($D23="",$E23=""),"",IF(AND($D23&lt;=S$7+6,$E23&gt;=S$7),IF('Plan de Tareas'!$J22="Completada",2,1),""))</f>
        <v/>
      </c>
      <c r="T23" s="36" t="str">
        <f>IF(OR($D23="",$E23=""),"",IF(AND($D23&lt;=T$7+6,$E23&gt;=T$7),IF('Plan de Tareas'!$J22="Completada",2,1),""))</f>
        <v/>
      </c>
      <c r="U23" s="36" t="str">
        <f>IF(OR($D23="",$E23=""),"",IF(AND($D23&lt;=U$7+6,$E23&gt;=U$7),IF('Plan de Tareas'!$J22="Completada",2,1),""))</f>
        <v/>
      </c>
      <c r="V23" s="36" t="str">
        <f>IF(OR($D23="",$E23=""),"",IF(AND($D23&lt;=V$7+6,$E23&gt;=V$7),IF('Plan de Tareas'!$J22="Completada",2,1),""))</f>
        <v/>
      </c>
      <c r="W23" s="36" t="str">
        <f>IF(OR($D23="",$E23=""),"",IF(AND($D23&lt;=W$7+6,$E23&gt;=W$7),IF('Plan de Tareas'!$J22="Completada",2,1),""))</f>
        <v/>
      </c>
      <c r="X23" s="36" t="str">
        <f>IF(OR($D23="",$E23=""),"",IF(AND($D23&lt;=X$7+6,$E23&gt;=X$7),IF('Plan de Tareas'!$J22="Completada",2,1),""))</f>
        <v/>
      </c>
      <c r="Y23" s="36" t="str">
        <f>IF(OR($D23="",$E23=""),"",IF(AND($D23&lt;=Y$7+6,$E23&gt;=Y$7),IF('Plan de Tareas'!$J22="Completada",2,1),""))</f>
        <v/>
      </c>
      <c r="Z23" s="36" t="str">
        <f>IF(OR($D23="",$E23=""),"",IF(AND($D23&lt;=Z$7+6,$E23&gt;=Z$7),IF('Plan de Tareas'!$J22="Completada",2,1),""))</f>
        <v/>
      </c>
      <c r="AA23" s="36" t="str">
        <f>IF(OR($D23="",$E23=""),"",IF(AND($D23&lt;=AA$7+6,$E23&gt;=AA$7),IF('Plan de Tareas'!$J22="Completada",2,1),""))</f>
        <v/>
      </c>
      <c r="AB23" s="36" t="str">
        <f>IF(OR($D23="",$E23=""),"",IF(AND($D23&lt;=AB$7+6,$E23&gt;=AB$7),IF('Plan de Tareas'!$J22="Completada",2,1),""))</f>
        <v/>
      </c>
      <c r="AC23" s="36" t="str">
        <f>IF(OR($D23="",$E23=""),"",IF(AND($D23&lt;=AC$7+6,$E23&gt;=AC$7),IF('Plan de Tareas'!$J22="Completada",2,1),""))</f>
        <v/>
      </c>
      <c r="AD23" s="36" t="str">
        <f>IF(OR($D23="",$E23=""),"",IF(AND($D23&lt;=AD$7+6,$E23&gt;=AD$7),IF('Plan de Tareas'!$J22="Completada",2,1),""))</f>
        <v/>
      </c>
      <c r="AE23" s="36" t="str">
        <f>IF(OR($D23="",$E23=""),"",IF(AND($D23&lt;=AE$7+6,$E23&gt;=AE$7),IF('Plan de Tareas'!$J22="Completada",2,1),""))</f>
        <v/>
      </c>
    </row>
    <row r="24" spans="1:31" ht="15" customHeight="1" x14ac:dyDescent="0.3">
      <c r="A24" s="34" t="str">
        <f>IF('Plan de Tareas'!$C23="","",'Plan de Tareas'!$A23)</f>
        <v/>
      </c>
      <c r="B24" s="20" t="str">
        <f>IF('Plan de Tareas'!$C23="","",'Plan de Tareas'!$C23)</f>
        <v/>
      </c>
      <c r="C24" s="20" t="str">
        <f>IF('Plan de Tareas'!$C23="","",'Plan de Tareas'!$D23)</f>
        <v/>
      </c>
      <c r="D24" s="35" t="str">
        <f>IF('Plan de Tareas'!$F23="","",'Plan de Tareas'!$F23)</f>
        <v/>
      </c>
      <c r="E24" s="35" t="str">
        <f>IF('Plan de Tareas'!$G23="","",'Plan de Tareas'!$G23)</f>
        <v/>
      </c>
      <c r="F24" s="36" t="str">
        <f>IF(OR($D24="",$E24=""),"",IF(AND($D24&lt;=F$7+6,$E24&gt;=F$7),IF('Plan de Tareas'!$J23="Completada",2,1),""))</f>
        <v/>
      </c>
      <c r="G24" s="36" t="str">
        <f>IF(OR($D24="",$E24=""),"",IF(AND($D24&lt;=G$7+6,$E24&gt;=G$7),IF('Plan de Tareas'!$J23="Completada",2,1),""))</f>
        <v/>
      </c>
      <c r="H24" s="36" t="str">
        <f>IF(OR($D24="",$E24=""),"",IF(AND($D24&lt;=H$7+6,$E24&gt;=H$7),IF('Plan de Tareas'!$J23="Completada",2,1),""))</f>
        <v/>
      </c>
      <c r="I24" s="36" t="str">
        <f>IF(OR($D24="",$E24=""),"",IF(AND($D24&lt;=I$7+6,$E24&gt;=I$7),IF('Plan de Tareas'!$J23="Completada",2,1),""))</f>
        <v/>
      </c>
      <c r="J24" s="36" t="str">
        <f>IF(OR($D24="",$E24=""),"",IF(AND($D24&lt;=J$7+6,$E24&gt;=J$7),IF('Plan de Tareas'!$J23="Completada",2,1),""))</f>
        <v/>
      </c>
      <c r="K24" s="36" t="str">
        <f>IF(OR($D24="",$E24=""),"",IF(AND($D24&lt;=K$7+6,$E24&gt;=K$7),IF('Plan de Tareas'!$J23="Completada",2,1),""))</f>
        <v/>
      </c>
      <c r="L24" s="36" t="str">
        <f>IF(OR($D24="",$E24=""),"",IF(AND($D24&lt;=L$7+6,$E24&gt;=L$7),IF('Plan de Tareas'!$J23="Completada",2,1),""))</f>
        <v/>
      </c>
      <c r="M24" s="36" t="str">
        <f>IF(OR($D24="",$E24=""),"",IF(AND($D24&lt;=M$7+6,$E24&gt;=M$7),IF('Plan de Tareas'!$J23="Completada",2,1),""))</f>
        <v/>
      </c>
      <c r="N24" s="36" t="str">
        <f>IF(OR($D24="",$E24=""),"",IF(AND($D24&lt;=N$7+6,$E24&gt;=N$7),IF('Plan de Tareas'!$J23="Completada",2,1),""))</f>
        <v/>
      </c>
      <c r="O24" s="36" t="str">
        <f>IF(OR($D24="",$E24=""),"",IF(AND($D24&lt;=O$7+6,$E24&gt;=O$7),IF('Plan de Tareas'!$J23="Completada",2,1),""))</f>
        <v/>
      </c>
      <c r="P24" s="36" t="str">
        <f>IF(OR($D24="",$E24=""),"",IF(AND($D24&lt;=P$7+6,$E24&gt;=P$7),IF('Plan de Tareas'!$J23="Completada",2,1),""))</f>
        <v/>
      </c>
      <c r="Q24" s="36" t="str">
        <f>IF(OR($D24="",$E24=""),"",IF(AND($D24&lt;=Q$7+6,$E24&gt;=Q$7),IF('Plan de Tareas'!$J23="Completada",2,1),""))</f>
        <v/>
      </c>
      <c r="R24" s="36" t="str">
        <f>IF(OR($D24="",$E24=""),"",IF(AND($D24&lt;=R$7+6,$E24&gt;=R$7),IF('Plan de Tareas'!$J23="Completada",2,1),""))</f>
        <v/>
      </c>
      <c r="S24" s="36" t="str">
        <f>IF(OR($D24="",$E24=""),"",IF(AND($D24&lt;=S$7+6,$E24&gt;=S$7),IF('Plan de Tareas'!$J23="Completada",2,1),""))</f>
        <v/>
      </c>
      <c r="T24" s="36" t="str">
        <f>IF(OR($D24="",$E24=""),"",IF(AND($D24&lt;=T$7+6,$E24&gt;=T$7),IF('Plan de Tareas'!$J23="Completada",2,1),""))</f>
        <v/>
      </c>
      <c r="U24" s="36" t="str">
        <f>IF(OR($D24="",$E24=""),"",IF(AND($D24&lt;=U$7+6,$E24&gt;=U$7),IF('Plan de Tareas'!$J23="Completada",2,1),""))</f>
        <v/>
      </c>
      <c r="V24" s="36" t="str">
        <f>IF(OR($D24="",$E24=""),"",IF(AND($D24&lt;=V$7+6,$E24&gt;=V$7),IF('Plan de Tareas'!$J23="Completada",2,1),""))</f>
        <v/>
      </c>
      <c r="W24" s="36" t="str">
        <f>IF(OR($D24="",$E24=""),"",IF(AND($D24&lt;=W$7+6,$E24&gt;=W$7),IF('Plan de Tareas'!$J23="Completada",2,1),""))</f>
        <v/>
      </c>
      <c r="X24" s="36" t="str">
        <f>IF(OR($D24="",$E24=""),"",IF(AND($D24&lt;=X$7+6,$E24&gt;=X$7),IF('Plan de Tareas'!$J23="Completada",2,1),""))</f>
        <v/>
      </c>
      <c r="Y24" s="36" t="str">
        <f>IF(OR($D24="",$E24=""),"",IF(AND($D24&lt;=Y$7+6,$E24&gt;=Y$7),IF('Plan de Tareas'!$J23="Completada",2,1),""))</f>
        <v/>
      </c>
      <c r="Z24" s="36" t="str">
        <f>IF(OR($D24="",$E24=""),"",IF(AND($D24&lt;=Z$7+6,$E24&gt;=Z$7),IF('Plan de Tareas'!$J23="Completada",2,1),""))</f>
        <v/>
      </c>
      <c r="AA24" s="36" t="str">
        <f>IF(OR($D24="",$E24=""),"",IF(AND($D24&lt;=AA$7+6,$E24&gt;=AA$7),IF('Plan de Tareas'!$J23="Completada",2,1),""))</f>
        <v/>
      </c>
      <c r="AB24" s="36" t="str">
        <f>IF(OR($D24="",$E24=""),"",IF(AND($D24&lt;=AB$7+6,$E24&gt;=AB$7),IF('Plan de Tareas'!$J23="Completada",2,1),""))</f>
        <v/>
      </c>
      <c r="AC24" s="36" t="str">
        <f>IF(OR($D24="",$E24=""),"",IF(AND($D24&lt;=AC$7+6,$E24&gt;=AC$7),IF('Plan de Tareas'!$J23="Completada",2,1),""))</f>
        <v/>
      </c>
      <c r="AD24" s="36" t="str">
        <f>IF(OR($D24="",$E24=""),"",IF(AND($D24&lt;=AD$7+6,$E24&gt;=AD$7),IF('Plan de Tareas'!$J23="Completada",2,1),""))</f>
        <v/>
      </c>
      <c r="AE24" s="36" t="str">
        <f>IF(OR($D24="",$E24=""),"",IF(AND($D24&lt;=AE$7+6,$E24&gt;=AE$7),IF('Plan de Tareas'!$J23="Completada",2,1),""))</f>
        <v/>
      </c>
    </row>
    <row r="25" spans="1:31" ht="15" customHeight="1" x14ac:dyDescent="0.3">
      <c r="A25" s="37" t="str">
        <f>IF('Plan de Tareas'!$C24="","",'Plan de Tareas'!$A24)</f>
        <v/>
      </c>
      <c r="B25" s="26" t="str">
        <f>IF('Plan de Tareas'!$C24="","",'Plan de Tareas'!$C24)</f>
        <v/>
      </c>
      <c r="C25" s="26" t="str">
        <f>IF('Plan de Tareas'!$C24="","",'Plan de Tareas'!$D24)</f>
        <v/>
      </c>
      <c r="D25" s="38" t="str">
        <f>IF('Plan de Tareas'!$F24="","",'Plan de Tareas'!$F24)</f>
        <v/>
      </c>
      <c r="E25" s="38" t="str">
        <f>IF('Plan de Tareas'!$G24="","",'Plan de Tareas'!$G24)</f>
        <v/>
      </c>
      <c r="F25" s="36" t="str">
        <f>IF(OR($D25="",$E25=""),"",IF(AND($D25&lt;=F$7+6,$E25&gt;=F$7),IF('Plan de Tareas'!$J24="Completada",2,1),""))</f>
        <v/>
      </c>
      <c r="G25" s="36" t="str">
        <f>IF(OR($D25="",$E25=""),"",IF(AND($D25&lt;=G$7+6,$E25&gt;=G$7),IF('Plan de Tareas'!$J24="Completada",2,1),""))</f>
        <v/>
      </c>
      <c r="H25" s="36" t="str">
        <f>IF(OR($D25="",$E25=""),"",IF(AND($D25&lt;=H$7+6,$E25&gt;=H$7),IF('Plan de Tareas'!$J24="Completada",2,1),""))</f>
        <v/>
      </c>
      <c r="I25" s="36" t="str">
        <f>IF(OR($D25="",$E25=""),"",IF(AND($D25&lt;=I$7+6,$E25&gt;=I$7),IF('Plan de Tareas'!$J24="Completada",2,1),""))</f>
        <v/>
      </c>
      <c r="J25" s="36" t="str">
        <f>IF(OR($D25="",$E25=""),"",IF(AND($D25&lt;=J$7+6,$E25&gt;=J$7),IF('Plan de Tareas'!$J24="Completada",2,1),""))</f>
        <v/>
      </c>
      <c r="K25" s="36" t="str">
        <f>IF(OR($D25="",$E25=""),"",IF(AND($D25&lt;=K$7+6,$E25&gt;=K$7),IF('Plan de Tareas'!$J24="Completada",2,1),""))</f>
        <v/>
      </c>
      <c r="L25" s="36" t="str">
        <f>IF(OR($D25="",$E25=""),"",IF(AND($D25&lt;=L$7+6,$E25&gt;=L$7),IF('Plan de Tareas'!$J24="Completada",2,1),""))</f>
        <v/>
      </c>
      <c r="M25" s="36" t="str">
        <f>IF(OR($D25="",$E25=""),"",IF(AND($D25&lt;=M$7+6,$E25&gt;=M$7),IF('Plan de Tareas'!$J24="Completada",2,1),""))</f>
        <v/>
      </c>
      <c r="N25" s="36" t="str">
        <f>IF(OR($D25="",$E25=""),"",IF(AND($D25&lt;=N$7+6,$E25&gt;=N$7),IF('Plan de Tareas'!$J24="Completada",2,1),""))</f>
        <v/>
      </c>
      <c r="O25" s="36" t="str">
        <f>IF(OR($D25="",$E25=""),"",IF(AND($D25&lt;=O$7+6,$E25&gt;=O$7),IF('Plan de Tareas'!$J24="Completada",2,1),""))</f>
        <v/>
      </c>
      <c r="P25" s="36" t="str">
        <f>IF(OR($D25="",$E25=""),"",IF(AND($D25&lt;=P$7+6,$E25&gt;=P$7),IF('Plan de Tareas'!$J24="Completada",2,1),""))</f>
        <v/>
      </c>
      <c r="Q25" s="36" t="str">
        <f>IF(OR($D25="",$E25=""),"",IF(AND($D25&lt;=Q$7+6,$E25&gt;=Q$7),IF('Plan de Tareas'!$J24="Completada",2,1),""))</f>
        <v/>
      </c>
      <c r="R25" s="36" t="str">
        <f>IF(OR($D25="",$E25=""),"",IF(AND($D25&lt;=R$7+6,$E25&gt;=R$7),IF('Plan de Tareas'!$J24="Completada",2,1),""))</f>
        <v/>
      </c>
      <c r="S25" s="36" t="str">
        <f>IF(OR($D25="",$E25=""),"",IF(AND($D25&lt;=S$7+6,$E25&gt;=S$7),IF('Plan de Tareas'!$J24="Completada",2,1),""))</f>
        <v/>
      </c>
      <c r="T25" s="36" t="str">
        <f>IF(OR($D25="",$E25=""),"",IF(AND($D25&lt;=T$7+6,$E25&gt;=T$7),IF('Plan de Tareas'!$J24="Completada",2,1),""))</f>
        <v/>
      </c>
      <c r="U25" s="36" t="str">
        <f>IF(OR($D25="",$E25=""),"",IF(AND($D25&lt;=U$7+6,$E25&gt;=U$7),IF('Plan de Tareas'!$J24="Completada",2,1),""))</f>
        <v/>
      </c>
      <c r="V25" s="36" t="str">
        <f>IF(OR($D25="",$E25=""),"",IF(AND($D25&lt;=V$7+6,$E25&gt;=V$7),IF('Plan de Tareas'!$J24="Completada",2,1),""))</f>
        <v/>
      </c>
      <c r="W25" s="36" t="str">
        <f>IF(OR($D25="",$E25=""),"",IF(AND($D25&lt;=W$7+6,$E25&gt;=W$7),IF('Plan de Tareas'!$J24="Completada",2,1),""))</f>
        <v/>
      </c>
      <c r="X25" s="36" t="str">
        <f>IF(OR($D25="",$E25=""),"",IF(AND($D25&lt;=X$7+6,$E25&gt;=X$7),IF('Plan de Tareas'!$J24="Completada",2,1),""))</f>
        <v/>
      </c>
      <c r="Y25" s="36" t="str">
        <f>IF(OR($D25="",$E25=""),"",IF(AND($D25&lt;=Y$7+6,$E25&gt;=Y$7),IF('Plan de Tareas'!$J24="Completada",2,1),""))</f>
        <v/>
      </c>
      <c r="Z25" s="36" t="str">
        <f>IF(OR($D25="",$E25=""),"",IF(AND($D25&lt;=Z$7+6,$E25&gt;=Z$7),IF('Plan de Tareas'!$J24="Completada",2,1),""))</f>
        <v/>
      </c>
      <c r="AA25" s="36" t="str">
        <f>IF(OR($D25="",$E25=""),"",IF(AND($D25&lt;=AA$7+6,$E25&gt;=AA$7),IF('Plan de Tareas'!$J24="Completada",2,1),""))</f>
        <v/>
      </c>
      <c r="AB25" s="36" t="str">
        <f>IF(OR($D25="",$E25=""),"",IF(AND($D25&lt;=AB$7+6,$E25&gt;=AB$7),IF('Plan de Tareas'!$J24="Completada",2,1),""))</f>
        <v/>
      </c>
      <c r="AC25" s="36" t="str">
        <f>IF(OR($D25="",$E25=""),"",IF(AND($D25&lt;=AC$7+6,$E25&gt;=AC$7),IF('Plan de Tareas'!$J24="Completada",2,1),""))</f>
        <v/>
      </c>
      <c r="AD25" s="36" t="str">
        <f>IF(OR($D25="",$E25=""),"",IF(AND($D25&lt;=AD$7+6,$E25&gt;=AD$7),IF('Plan de Tareas'!$J24="Completada",2,1),""))</f>
        <v/>
      </c>
      <c r="AE25" s="36" t="str">
        <f>IF(OR($D25="",$E25=""),"",IF(AND($D25&lt;=AE$7+6,$E25&gt;=AE$7),IF('Plan de Tareas'!$J24="Completada",2,1),""))</f>
        <v/>
      </c>
    </row>
    <row r="26" spans="1:31" ht="15" customHeight="1" x14ac:dyDescent="0.3">
      <c r="A26" s="34" t="str">
        <f>IF('Plan de Tareas'!$C25="","",'Plan de Tareas'!$A25)</f>
        <v/>
      </c>
      <c r="B26" s="20" t="str">
        <f>IF('Plan de Tareas'!$C25="","",'Plan de Tareas'!$C25)</f>
        <v/>
      </c>
      <c r="C26" s="20" t="str">
        <f>IF('Plan de Tareas'!$C25="","",'Plan de Tareas'!$D25)</f>
        <v/>
      </c>
      <c r="D26" s="35" t="str">
        <f>IF('Plan de Tareas'!$F25="","",'Plan de Tareas'!$F25)</f>
        <v/>
      </c>
      <c r="E26" s="35" t="str">
        <f>IF('Plan de Tareas'!$G25="","",'Plan de Tareas'!$G25)</f>
        <v/>
      </c>
      <c r="F26" s="36" t="str">
        <f>IF(OR($D26="",$E26=""),"",IF(AND($D26&lt;=F$7+6,$E26&gt;=F$7),IF('Plan de Tareas'!$J25="Completada",2,1),""))</f>
        <v/>
      </c>
      <c r="G26" s="36" t="str">
        <f>IF(OR($D26="",$E26=""),"",IF(AND($D26&lt;=G$7+6,$E26&gt;=G$7),IF('Plan de Tareas'!$J25="Completada",2,1),""))</f>
        <v/>
      </c>
      <c r="H26" s="36" t="str">
        <f>IF(OR($D26="",$E26=""),"",IF(AND($D26&lt;=H$7+6,$E26&gt;=H$7),IF('Plan de Tareas'!$J25="Completada",2,1),""))</f>
        <v/>
      </c>
      <c r="I26" s="36" t="str">
        <f>IF(OR($D26="",$E26=""),"",IF(AND($D26&lt;=I$7+6,$E26&gt;=I$7),IF('Plan de Tareas'!$J25="Completada",2,1),""))</f>
        <v/>
      </c>
      <c r="J26" s="36" t="str">
        <f>IF(OR($D26="",$E26=""),"",IF(AND($D26&lt;=J$7+6,$E26&gt;=J$7),IF('Plan de Tareas'!$J25="Completada",2,1),""))</f>
        <v/>
      </c>
      <c r="K26" s="36" t="str">
        <f>IF(OR($D26="",$E26=""),"",IF(AND($D26&lt;=K$7+6,$E26&gt;=K$7),IF('Plan de Tareas'!$J25="Completada",2,1),""))</f>
        <v/>
      </c>
      <c r="L26" s="36" t="str">
        <f>IF(OR($D26="",$E26=""),"",IF(AND($D26&lt;=L$7+6,$E26&gt;=L$7),IF('Plan de Tareas'!$J25="Completada",2,1),""))</f>
        <v/>
      </c>
      <c r="M26" s="36" t="str">
        <f>IF(OR($D26="",$E26=""),"",IF(AND($D26&lt;=M$7+6,$E26&gt;=M$7),IF('Plan de Tareas'!$J25="Completada",2,1),""))</f>
        <v/>
      </c>
      <c r="N26" s="36" t="str">
        <f>IF(OR($D26="",$E26=""),"",IF(AND($D26&lt;=N$7+6,$E26&gt;=N$7),IF('Plan de Tareas'!$J25="Completada",2,1),""))</f>
        <v/>
      </c>
      <c r="O26" s="36" t="str">
        <f>IF(OR($D26="",$E26=""),"",IF(AND($D26&lt;=O$7+6,$E26&gt;=O$7),IF('Plan de Tareas'!$J25="Completada",2,1),""))</f>
        <v/>
      </c>
      <c r="P26" s="36" t="str">
        <f>IF(OR($D26="",$E26=""),"",IF(AND($D26&lt;=P$7+6,$E26&gt;=P$7),IF('Plan de Tareas'!$J25="Completada",2,1),""))</f>
        <v/>
      </c>
      <c r="Q26" s="36" t="str">
        <f>IF(OR($D26="",$E26=""),"",IF(AND($D26&lt;=Q$7+6,$E26&gt;=Q$7),IF('Plan de Tareas'!$J25="Completada",2,1),""))</f>
        <v/>
      </c>
      <c r="R26" s="36" t="str">
        <f>IF(OR($D26="",$E26=""),"",IF(AND($D26&lt;=R$7+6,$E26&gt;=R$7),IF('Plan de Tareas'!$J25="Completada",2,1),""))</f>
        <v/>
      </c>
      <c r="S26" s="36" t="str">
        <f>IF(OR($D26="",$E26=""),"",IF(AND($D26&lt;=S$7+6,$E26&gt;=S$7),IF('Plan de Tareas'!$J25="Completada",2,1),""))</f>
        <v/>
      </c>
      <c r="T26" s="36" t="str">
        <f>IF(OR($D26="",$E26=""),"",IF(AND($D26&lt;=T$7+6,$E26&gt;=T$7),IF('Plan de Tareas'!$J25="Completada",2,1),""))</f>
        <v/>
      </c>
      <c r="U26" s="36" t="str">
        <f>IF(OR($D26="",$E26=""),"",IF(AND($D26&lt;=U$7+6,$E26&gt;=U$7),IF('Plan de Tareas'!$J25="Completada",2,1),""))</f>
        <v/>
      </c>
      <c r="V26" s="36" t="str">
        <f>IF(OR($D26="",$E26=""),"",IF(AND($D26&lt;=V$7+6,$E26&gt;=V$7),IF('Plan de Tareas'!$J25="Completada",2,1),""))</f>
        <v/>
      </c>
      <c r="W26" s="36" t="str">
        <f>IF(OR($D26="",$E26=""),"",IF(AND($D26&lt;=W$7+6,$E26&gt;=W$7),IF('Plan de Tareas'!$J25="Completada",2,1),""))</f>
        <v/>
      </c>
      <c r="X26" s="36" t="str">
        <f>IF(OR($D26="",$E26=""),"",IF(AND($D26&lt;=X$7+6,$E26&gt;=X$7),IF('Plan de Tareas'!$J25="Completada",2,1),""))</f>
        <v/>
      </c>
      <c r="Y26" s="36" t="str">
        <f>IF(OR($D26="",$E26=""),"",IF(AND($D26&lt;=Y$7+6,$E26&gt;=Y$7),IF('Plan de Tareas'!$J25="Completada",2,1),""))</f>
        <v/>
      </c>
      <c r="Z26" s="36" t="str">
        <f>IF(OR($D26="",$E26=""),"",IF(AND($D26&lt;=Z$7+6,$E26&gt;=Z$7),IF('Plan de Tareas'!$J25="Completada",2,1),""))</f>
        <v/>
      </c>
      <c r="AA26" s="36" t="str">
        <f>IF(OR($D26="",$E26=""),"",IF(AND($D26&lt;=AA$7+6,$E26&gt;=AA$7),IF('Plan de Tareas'!$J25="Completada",2,1),""))</f>
        <v/>
      </c>
      <c r="AB26" s="36" t="str">
        <f>IF(OR($D26="",$E26=""),"",IF(AND($D26&lt;=AB$7+6,$E26&gt;=AB$7),IF('Plan de Tareas'!$J25="Completada",2,1),""))</f>
        <v/>
      </c>
      <c r="AC26" s="36" t="str">
        <f>IF(OR($D26="",$E26=""),"",IF(AND($D26&lt;=AC$7+6,$E26&gt;=AC$7),IF('Plan de Tareas'!$J25="Completada",2,1),""))</f>
        <v/>
      </c>
      <c r="AD26" s="36" t="str">
        <f>IF(OR($D26="",$E26=""),"",IF(AND($D26&lt;=AD$7+6,$E26&gt;=AD$7),IF('Plan de Tareas'!$J25="Completada",2,1),""))</f>
        <v/>
      </c>
      <c r="AE26" s="36" t="str">
        <f>IF(OR($D26="",$E26=""),"",IF(AND($D26&lt;=AE$7+6,$E26&gt;=AE$7),IF('Plan de Tareas'!$J25="Completada",2,1),""))</f>
        <v/>
      </c>
    </row>
    <row r="27" spans="1:31" ht="15" customHeight="1" x14ac:dyDescent="0.3">
      <c r="A27" s="37" t="str">
        <f>IF('Plan de Tareas'!$C26="","",'Plan de Tareas'!$A26)</f>
        <v/>
      </c>
      <c r="B27" s="26" t="str">
        <f>IF('Plan de Tareas'!$C26="","",'Plan de Tareas'!$C26)</f>
        <v/>
      </c>
      <c r="C27" s="26" t="str">
        <f>IF('Plan de Tareas'!$C26="","",'Plan de Tareas'!$D26)</f>
        <v/>
      </c>
      <c r="D27" s="38" t="str">
        <f>IF('Plan de Tareas'!$F26="","",'Plan de Tareas'!$F26)</f>
        <v/>
      </c>
      <c r="E27" s="38" t="str">
        <f>IF('Plan de Tareas'!$G26="","",'Plan de Tareas'!$G26)</f>
        <v/>
      </c>
      <c r="F27" s="36" t="str">
        <f>IF(OR($D27="",$E27=""),"",IF(AND($D27&lt;=F$7+6,$E27&gt;=F$7),IF('Plan de Tareas'!$J26="Completada",2,1),""))</f>
        <v/>
      </c>
      <c r="G27" s="36" t="str">
        <f>IF(OR($D27="",$E27=""),"",IF(AND($D27&lt;=G$7+6,$E27&gt;=G$7),IF('Plan de Tareas'!$J26="Completada",2,1),""))</f>
        <v/>
      </c>
      <c r="H27" s="36" t="str">
        <f>IF(OR($D27="",$E27=""),"",IF(AND($D27&lt;=H$7+6,$E27&gt;=H$7),IF('Plan de Tareas'!$J26="Completada",2,1),""))</f>
        <v/>
      </c>
      <c r="I27" s="36" t="str">
        <f>IF(OR($D27="",$E27=""),"",IF(AND($D27&lt;=I$7+6,$E27&gt;=I$7),IF('Plan de Tareas'!$J26="Completada",2,1),""))</f>
        <v/>
      </c>
      <c r="J27" s="36" t="str">
        <f>IF(OR($D27="",$E27=""),"",IF(AND($D27&lt;=J$7+6,$E27&gt;=J$7),IF('Plan de Tareas'!$J26="Completada",2,1),""))</f>
        <v/>
      </c>
      <c r="K27" s="36" t="str">
        <f>IF(OR($D27="",$E27=""),"",IF(AND($D27&lt;=K$7+6,$E27&gt;=K$7),IF('Plan de Tareas'!$J26="Completada",2,1),""))</f>
        <v/>
      </c>
      <c r="L27" s="36" t="str">
        <f>IF(OR($D27="",$E27=""),"",IF(AND($D27&lt;=L$7+6,$E27&gt;=L$7),IF('Plan de Tareas'!$J26="Completada",2,1),""))</f>
        <v/>
      </c>
      <c r="M27" s="36" t="str">
        <f>IF(OR($D27="",$E27=""),"",IF(AND($D27&lt;=M$7+6,$E27&gt;=M$7),IF('Plan de Tareas'!$J26="Completada",2,1),""))</f>
        <v/>
      </c>
      <c r="N27" s="36" t="str">
        <f>IF(OR($D27="",$E27=""),"",IF(AND($D27&lt;=N$7+6,$E27&gt;=N$7),IF('Plan de Tareas'!$J26="Completada",2,1),""))</f>
        <v/>
      </c>
      <c r="O27" s="36" t="str">
        <f>IF(OR($D27="",$E27=""),"",IF(AND($D27&lt;=O$7+6,$E27&gt;=O$7),IF('Plan de Tareas'!$J26="Completada",2,1),""))</f>
        <v/>
      </c>
      <c r="P27" s="36" t="str">
        <f>IF(OR($D27="",$E27=""),"",IF(AND($D27&lt;=P$7+6,$E27&gt;=P$7),IF('Plan de Tareas'!$J26="Completada",2,1),""))</f>
        <v/>
      </c>
      <c r="Q27" s="36" t="str">
        <f>IF(OR($D27="",$E27=""),"",IF(AND($D27&lt;=Q$7+6,$E27&gt;=Q$7),IF('Plan de Tareas'!$J26="Completada",2,1),""))</f>
        <v/>
      </c>
      <c r="R27" s="36" t="str">
        <f>IF(OR($D27="",$E27=""),"",IF(AND($D27&lt;=R$7+6,$E27&gt;=R$7),IF('Plan de Tareas'!$J26="Completada",2,1),""))</f>
        <v/>
      </c>
      <c r="S27" s="36" t="str">
        <f>IF(OR($D27="",$E27=""),"",IF(AND($D27&lt;=S$7+6,$E27&gt;=S$7),IF('Plan de Tareas'!$J26="Completada",2,1),""))</f>
        <v/>
      </c>
      <c r="T27" s="36" t="str">
        <f>IF(OR($D27="",$E27=""),"",IF(AND($D27&lt;=T$7+6,$E27&gt;=T$7),IF('Plan de Tareas'!$J26="Completada",2,1),""))</f>
        <v/>
      </c>
      <c r="U27" s="36" t="str">
        <f>IF(OR($D27="",$E27=""),"",IF(AND($D27&lt;=U$7+6,$E27&gt;=U$7),IF('Plan de Tareas'!$J26="Completada",2,1),""))</f>
        <v/>
      </c>
      <c r="V27" s="36" t="str">
        <f>IF(OR($D27="",$E27=""),"",IF(AND($D27&lt;=V$7+6,$E27&gt;=V$7),IF('Plan de Tareas'!$J26="Completada",2,1),""))</f>
        <v/>
      </c>
      <c r="W27" s="36" t="str">
        <f>IF(OR($D27="",$E27=""),"",IF(AND($D27&lt;=W$7+6,$E27&gt;=W$7),IF('Plan de Tareas'!$J26="Completada",2,1),""))</f>
        <v/>
      </c>
      <c r="X27" s="36" t="str">
        <f>IF(OR($D27="",$E27=""),"",IF(AND($D27&lt;=X$7+6,$E27&gt;=X$7),IF('Plan de Tareas'!$J26="Completada",2,1),""))</f>
        <v/>
      </c>
      <c r="Y27" s="36" t="str">
        <f>IF(OR($D27="",$E27=""),"",IF(AND($D27&lt;=Y$7+6,$E27&gt;=Y$7),IF('Plan de Tareas'!$J26="Completada",2,1),""))</f>
        <v/>
      </c>
      <c r="Z27" s="36" t="str">
        <f>IF(OR($D27="",$E27=""),"",IF(AND($D27&lt;=Z$7+6,$E27&gt;=Z$7),IF('Plan de Tareas'!$J26="Completada",2,1),""))</f>
        <v/>
      </c>
      <c r="AA27" s="36" t="str">
        <f>IF(OR($D27="",$E27=""),"",IF(AND($D27&lt;=AA$7+6,$E27&gt;=AA$7),IF('Plan de Tareas'!$J26="Completada",2,1),""))</f>
        <v/>
      </c>
      <c r="AB27" s="36" t="str">
        <f>IF(OR($D27="",$E27=""),"",IF(AND($D27&lt;=AB$7+6,$E27&gt;=AB$7),IF('Plan de Tareas'!$J26="Completada",2,1),""))</f>
        <v/>
      </c>
      <c r="AC27" s="36" t="str">
        <f>IF(OR($D27="",$E27=""),"",IF(AND($D27&lt;=AC$7+6,$E27&gt;=AC$7),IF('Plan de Tareas'!$J26="Completada",2,1),""))</f>
        <v/>
      </c>
      <c r="AD27" s="36" t="str">
        <f>IF(OR($D27="",$E27=""),"",IF(AND($D27&lt;=AD$7+6,$E27&gt;=AD$7),IF('Plan de Tareas'!$J26="Completada",2,1),""))</f>
        <v/>
      </c>
      <c r="AE27" s="36" t="str">
        <f>IF(OR($D27="",$E27=""),"",IF(AND($D27&lt;=AE$7+6,$E27&gt;=AE$7),IF('Plan de Tareas'!$J26="Completada",2,1),""))</f>
        <v/>
      </c>
    </row>
    <row r="28" spans="1:31" ht="15" customHeight="1" x14ac:dyDescent="0.3">
      <c r="A28" s="34" t="str">
        <f>IF('Plan de Tareas'!$C27="","",'Plan de Tareas'!$A27)</f>
        <v/>
      </c>
      <c r="B28" s="20" t="str">
        <f>IF('Plan de Tareas'!$C27="","",'Plan de Tareas'!$C27)</f>
        <v/>
      </c>
      <c r="C28" s="20" t="str">
        <f>IF('Plan de Tareas'!$C27="","",'Plan de Tareas'!$D27)</f>
        <v/>
      </c>
      <c r="D28" s="35" t="str">
        <f>IF('Plan de Tareas'!$F27="","",'Plan de Tareas'!$F27)</f>
        <v/>
      </c>
      <c r="E28" s="35" t="str">
        <f>IF('Plan de Tareas'!$G27="","",'Plan de Tareas'!$G27)</f>
        <v/>
      </c>
      <c r="F28" s="36" t="str">
        <f>IF(OR($D28="",$E28=""),"",IF(AND($D28&lt;=F$7+6,$E28&gt;=F$7),IF('Plan de Tareas'!$J27="Completada",2,1),""))</f>
        <v/>
      </c>
      <c r="G28" s="36" t="str">
        <f>IF(OR($D28="",$E28=""),"",IF(AND($D28&lt;=G$7+6,$E28&gt;=G$7),IF('Plan de Tareas'!$J27="Completada",2,1),""))</f>
        <v/>
      </c>
      <c r="H28" s="36" t="str">
        <f>IF(OR($D28="",$E28=""),"",IF(AND($D28&lt;=H$7+6,$E28&gt;=H$7),IF('Plan de Tareas'!$J27="Completada",2,1),""))</f>
        <v/>
      </c>
      <c r="I28" s="36" t="str">
        <f>IF(OR($D28="",$E28=""),"",IF(AND($D28&lt;=I$7+6,$E28&gt;=I$7),IF('Plan de Tareas'!$J27="Completada",2,1),""))</f>
        <v/>
      </c>
      <c r="J28" s="36" t="str">
        <f>IF(OR($D28="",$E28=""),"",IF(AND($D28&lt;=J$7+6,$E28&gt;=J$7),IF('Plan de Tareas'!$J27="Completada",2,1),""))</f>
        <v/>
      </c>
      <c r="K28" s="36" t="str">
        <f>IF(OR($D28="",$E28=""),"",IF(AND($D28&lt;=K$7+6,$E28&gt;=K$7),IF('Plan de Tareas'!$J27="Completada",2,1),""))</f>
        <v/>
      </c>
      <c r="L28" s="36" t="str">
        <f>IF(OR($D28="",$E28=""),"",IF(AND($D28&lt;=L$7+6,$E28&gt;=L$7),IF('Plan de Tareas'!$J27="Completada",2,1),""))</f>
        <v/>
      </c>
      <c r="M28" s="36" t="str">
        <f>IF(OR($D28="",$E28=""),"",IF(AND($D28&lt;=M$7+6,$E28&gt;=M$7),IF('Plan de Tareas'!$J27="Completada",2,1),""))</f>
        <v/>
      </c>
      <c r="N28" s="36" t="str">
        <f>IF(OR($D28="",$E28=""),"",IF(AND($D28&lt;=N$7+6,$E28&gt;=N$7),IF('Plan de Tareas'!$J27="Completada",2,1),""))</f>
        <v/>
      </c>
      <c r="O28" s="36" t="str">
        <f>IF(OR($D28="",$E28=""),"",IF(AND($D28&lt;=O$7+6,$E28&gt;=O$7),IF('Plan de Tareas'!$J27="Completada",2,1),""))</f>
        <v/>
      </c>
      <c r="P28" s="36" t="str">
        <f>IF(OR($D28="",$E28=""),"",IF(AND($D28&lt;=P$7+6,$E28&gt;=P$7),IF('Plan de Tareas'!$J27="Completada",2,1),""))</f>
        <v/>
      </c>
      <c r="Q28" s="36" t="str">
        <f>IF(OR($D28="",$E28=""),"",IF(AND($D28&lt;=Q$7+6,$E28&gt;=Q$7),IF('Plan de Tareas'!$J27="Completada",2,1),""))</f>
        <v/>
      </c>
      <c r="R28" s="36" t="str">
        <f>IF(OR($D28="",$E28=""),"",IF(AND($D28&lt;=R$7+6,$E28&gt;=R$7),IF('Plan de Tareas'!$J27="Completada",2,1),""))</f>
        <v/>
      </c>
      <c r="S28" s="36" t="str">
        <f>IF(OR($D28="",$E28=""),"",IF(AND($D28&lt;=S$7+6,$E28&gt;=S$7),IF('Plan de Tareas'!$J27="Completada",2,1),""))</f>
        <v/>
      </c>
      <c r="T28" s="36" t="str">
        <f>IF(OR($D28="",$E28=""),"",IF(AND($D28&lt;=T$7+6,$E28&gt;=T$7),IF('Plan de Tareas'!$J27="Completada",2,1),""))</f>
        <v/>
      </c>
      <c r="U28" s="36" t="str">
        <f>IF(OR($D28="",$E28=""),"",IF(AND($D28&lt;=U$7+6,$E28&gt;=U$7),IF('Plan de Tareas'!$J27="Completada",2,1),""))</f>
        <v/>
      </c>
      <c r="V28" s="36" t="str">
        <f>IF(OR($D28="",$E28=""),"",IF(AND($D28&lt;=V$7+6,$E28&gt;=V$7),IF('Plan de Tareas'!$J27="Completada",2,1),""))</f>
        <v/>
      </c>
      <c r="W28" s="36" t="str">
        <f>IF(OR($D28="",$E28=""),"",IF(AND($D28&lt;=W$7+6,$E28&gt;=W$7),IF('Plan de Tareas'!$J27="Completada",2,1),""))</f>
        <v/>
      </c>
      <c r="X28" s="36" t="str">
        <f>IF(OR($D28="",$E28=""),"",IF(AND($D28&lt;=X$7+6,$E28&gt;=X$7),IF('Plan de Tareas'!$J27="Completada",2,1),""))</f>
        <v/>
      </c>
      <c r="Y28" s="36" t="str">
        <f>IF(OR($D28="",$E28=""),"",IF(AND($D28&lt;=Y$7+6,$E28&gt;=Y$7),IF('Plan de Tareas'!$J27="Completada",2,1),""))</f>
        <v/>
      </c>
      <c r="Z28" s="36" t="str">
        <f>IF(OR($D28="",$E28=""),"",IF(AND($D28&lt;=Z$7+6,$E28&gt;=Z$7),IF('Plan de Tareas'!$J27="Completada",2,1),""))</f>
        <v/>
      </c>
      <c r="AA28" s="36" t="str">
        <f>IF(OR($D28="",$E28=""),"",IF(AND($D28&lt;=AA$7+6,$E28&gt;=AA$7),IF('Plan de Tareas'!$J27="Completada",2,1),""))</f>
        <v/>
      </c>
      <c r="AB28" s="36" t="str">
        <f>IF(OR($D28="",$E28=""),"",IF(AND($D28&lt;=AB$7+6,$E28&gt;=AB$7),IF('Plan de Tareas'!$J27="Completada",2,1),""))</f>
        <v/>
      </c>
      <c r="AC28" s="36" t="str">
        <f>IF(OR($D28="",$E28=""),"",IF(AND($D28&lt;=AC$7+6,$E28&gt;=AC$7),IF('Plan de Tareas'!$J27="Completada",2,1),""))</f>
        <v/>
      </c>
      <c r="AD28" s="36" t="str">
        <f>IF(OR($D28="",$E28=""),"",IF(AND($D28&lt;=AD$7+6,$E28&gt;=AD$7),IF('Plan de Tareas'!$J27="Completada",2,1),""))</f>
        <v/>
      </c>
      <c r="AE28" s="36" t="str">
        <f>IF(OR($D28="",$E28=""),"",IF(AND($D28&lt;=AE$7+6,$E28&gt;=AE$7),IF('Plan de Tareas'!$J27="Completada",2,1),""))</f>
        <v/>
      </c>
    </row>
    <row r="29" spans="1:31" ht="15" customHeight="1" x14ac:dyDescent="0.3">
      <c r="A29" s="37" t="str">
        <f>IF('Plan de Tareas'!$C28="","",'Plan de Tareas'!$A28)</f>
        <v/>
      </c>
      <c r="B29" s="26" t="str">
        <f>IF('Plan de Tareas'!$C28="","",'Plan de Tareas'!$C28)</f>
        <v/>
      </c>
      <c r="C29" s="26" t="str">
        <f>IF('Plan de Tareas'!$C28="","",'Plan de Tareas'!$D28)</f>
        <v/>
      </c>
      <c r="D29" s="38" t="str">
        <f>IF('Plan de Tareas'!$F28="","",'Plan de Tareas'!$F28)</f>
        <v/>
      </c>
      <c r="E29" s="38" t="str">
        <f>IF('Plan de Tareas'!$G28="","",'Plan de Tareas'!$G28)</f>
        <v/>
      </c>
      <c r="F29" s="36" t="str">
        <f>IF(OR($D29="",$E29=""),"",IF(AND($D29&lt;=F$7+6,$E29&gt;=F$7),IF('Plan de Tareas'!$J28="Completada",2,1),""))</f>
        <v/>
      </c>
      <c r="G29" s="36" t="str">
        <f>IF(OR($D29="",$E29=""),"",IF(AND($D29&lt;=G$7+6,$E29&gt;=G$7),IF('Plan de Tareas'!$J28="Completada",2,1),""))</f>
        <v/>
      </c>
      <c r="H29" s="36" t="str">
        <f>IF(OR($D29="",$E29=""),"",IF(AND($D29&lt;=H$7+6,$E29&gt;=H$7),IF('Plan de Tareas'!$J28="Completada",2,1),""))</f>
        <v/>
      </c>
      <c r="I29" s="36" t="str">
        <f>IF(OR($D29="",$E29=""),"",IF(AND($D29&lt;=I$7+6,$E29&gt;=I$7),IF('Plan de Tareas'!$J28="Completada",2,1),""))</f>
        <v/>
      </c>
      <c r="J29" s="36" t="str">
        <f>IF(OR($D29="",$E29=""),"",IF(AND($D29&lt;=J$7+6,$E29&gt;=J$7),IF('Plan de Tareas'!$J28="Completada",2,1),""))</f>
        <v/>
      </c>
      <c r="K29" s="36" t="str">
        <f>IF(OR($D29="",$E29=""),"",IF(AND($D29&lt;=K$7+6,$E29&gt;=K$7),IF('Plan de Tareas'!$J28="Completada",2,1),""))</f>
        <v/>
      </c>
      <c r="L29" s="36" t="str">
        <f>IF(OR($D29="",$E29=""),"",IF(AND($D29&lt;=L$7+6,$E29&gt;=L$7),IF('Plan de Tareas'!$J28="Completada",2,1),""))</f>
        <v/>
      </c>
      <c r="M29" s="36" t="str">
        <f>IF(OR($D29="",$E29=""),"",IF(AND($D29&lt;=M$7+6,$E29&gt;=M$7),IF('Plan de Tareas'!$J28="Completada",2,1),""))</f>
        <v/>
      </c>
      <c r="N29" s="36" t="str">
        <f>IF(OR($D29="",$E29=""),"",IF(AND($D29&lt;=N$7+6,$E29&gt;=N$7),IF('Plan de Tareas'!$J28="Completada",2,1),""))</f>
        <v/>
      </c>
      <c r="O29" s="36" t="str">
        <f>IF(OR($D29="",$E29=""),"",IF(AND($D29&lt;=O$7+6,$E29&gt;=O$7),IF('Plan de Tareas'!$J28="Completada",2,1),""))</f>
        <v/>
      </c>
      <c r="P29" s="36" t="str">
        <f>IF(OR($D29="",$E29=""),"",IF(AND($D29&lt;=P$7+6,$E29&gt;=P$7),IF('Plan de Tareas'!$J28="Completada",2,1),""))</f>
        <v/>
      </c>
      <c r="Q29" s="36" t="str">
        <f>IF(OR($D29="",$E29=""),"",IF(AND($D29&lt;=Q$7+6,$E29&gt;=Q$7),IF('Plan de Tareas'!$J28="Completada",2,1),""))</f>
        <v/>
      </c>
      <c r="R29" s="36" t="str">
        <f>IF(OR($D29="",$E29=""),"",IF(AND($D29&lt;=R$7+6,$E29&gt;=R$7),IF('Plan de Tareas'!$J28="Completada",2,1),""))</f>
        <v/>
      </c>
      <c r="S29" s="36" t="str">
        <f>IF(OR($D29="",$E29=""),"",IF(AND($D29&lt;=S$7+6,$E29&gt;=S$7),IF('Plan de Tareas'!$J28="Completada",2,1),""))</f>
        <v/>
      </c>
      <c r="T29" s="36" t="str">
        <f>IF(OR($D29="",$E29=""),"",IF(AND($D29&lt;=T$7+6,$E29&gt;=T$7),IF('Plan de Tareas'!$J28="Completada",2,1),""))</f>
        <v/>
      </c>
      <c r="U29" s="36" t="str">
        <f>IF(OR($D29="",$E29=""),"",IF(AND($D29&lt;=U$7+6,$E29&gt;=U$7),IF('Plan de Tareas'!$J28="Completada",2,1),""))</f>
        <v/>
      </c>
      <c r="V29" s="36" t="str">
        <f>IF(OR($D29="",$E29=""),"",IF(AND($D29&lt;=V$7+6,$E29&gt;=V$7),IF('Plan de Tareas'!$J28="Completada",2,1),""))</f>
        <v/>
      </c>
      <c r="W29" s="36" t="str">
        <f>IF(OR($D29="",$E29=""),"",IF(AND($D29&lt;=W$7+6,$E29&gt;=W$7),IF('Plan de Tareas'!$J28="Completada",2,1),""))</f>
        <v/>
      </c>
      <c r="X29" s="36" t="str">
        <f>IF(OR($D29="",$E29=""),"",IF(AND($D29&lt;=X$7+6,$E29&gt;=X$7),IF('Plan de Tareas'!$J28="Completada",2,1),""))</f>
        <v/>
      </c>
      <c r="Y29" s="36" t="str">
        <f>IF(OR($D29="",$E29=""),"",IF(AND($D29&lt;=Y$7+6,$E29&gt;=Y$7),IF('Plan de Tareas'!$J28="Completada",2,1),""))</f>
        <v/>
      </c>
      <c r="Z29" s="36" t="str">
        <f>IF(OR($D29="",$E29=""),"",IF(AND($D29&lt;=Z$7+6,$E29&gt;=Z$7),IF('Plan de Tareas'!$J28="Completada",2,1),""))</f>
        <v/>
      </c>
      <c r="AA29" s="36" t="str">
        <f>IF(OR($D29="",$E29=""),"",IF(AND($D29&lt;=AA$7+6,$E29&gt;=AA$7),IF('Plan de Tareas'!$J28="Completada",2,1),""))</f>
        <v/>
      </c>
      <c r="AB29" s="36" t="str">
        <f>IF(OR($D29="",$E29=""),"",IF(AND($D29&lt;=AB$7+6,$E29&gt;=AB$7),IF('Plan de Tareas'!$J28="Completada",2,1),""))</f>
        <v/>
      </c>
      <c r="AC29" s="36" t="str">
        <f>IF(OR($D29="",$E29=""),"",IF(AND($D29&lt;=AC$7+6,$E29&gt;=AC$7),IF('Plan de Tareas'!$J28="Completada",2,1),""))</f>
        <v/>
      </c>
      <c r="AD29" s="36" t="str">
        <f>IF(OR($D29="",$E29=""),"",IF(AND($D29&lt;=AD$7+6,$E29&gt;=AD$7),IF('Plan de Tareas'!$J28="Completada",2,1),""))</f>
        <v/>
      </c>
      <c r="AE29" s="36" t="str">
        <f>IF(OR($D29="",$E29=""),"",IF(AND($D29&lt;=AE$7+6,$E29&gt;=AE$7),IF('Plan de Tareas'!$J28="Completada",2,1),""))</f>
        <v/>
      </c>
    </row>
    <row r="30" spans="1:31" ht="15" customHeight="1" x14ac:dyDescent="0.3">
      <c r="A30" s="34" t="str">
        <f>IF('Plan de Tareas'!$C29="","",'Plan de Tareas'!$A29)</f>
        <v/>
      </c>
      <c r="B30" s="20" t="str">
        <f>IF('Plan de Tareas'!$C29="","",'Plan de Tareas'!$C29)</f>
        <v/>
      </c>
      <c r="C30" s="20" t="str">
        <f>IF('Plan de Tareas'!$C29="","",'Plan de Tareas'!$D29)</f>
        <v/>
      </c>
      <c r="D30" s="35" t="str">
        <f>IF('Plan de Tareas'!$F29="","",'Plan de Tareas'!$F29)</f>
        <v/>
      </c>
      <c r="E30" s="35" t="str">
        <f>IF('Plan de Tareas'!$G29="","",'Plan de Tareas'!$G29)</f>
        <v/>
      </c>
      <c r="F30" s="36" t="str">
        <f>IF(OR($D30="",$E30=""),"",IF(AND($D30&lt;=F$7+6,$E30&gt;=F$7),IF('Plan de Tareas'!$J29="Completada",2,1),""))</f>
        <v/>
      </c>
      <c r="G30" s="36" t="str">
        <f>IF(OR($D30="",$E30=""),"",IF(AND($D30&lt;=G$7+6,$E30&gt;=G$7),IF('Plan de Tareas'!$J29="Completada",2,1),""))</f>
        <v/>
      </c>
      <c r="H30" s="36" t="str">
        <f>IF(OR($D30="",$E30=""),"",IF(AND($D30&lt;=H$7+6,$E30&gt;=H$7),IF('Plan de Tareas'!$J29="Completada",2,1),""))</f>
        <v/>
      </c>
      <c r="I30" s="36" t="str">
        <f>IF(OR($D30="",$E30=""),"",IF(AND($D30&lt;=I$7+6,$E30&gt;=I$7),IF('Plan de Tareas'!$J29="Completada",2,1),""))</f>
        <v/>
      </c>
      <c r="J30" s="36" t="str">
        <f>IF(OR($D30="",$E30=""),"",IF(AND($D30&lt;=J$7+6,$E30&gt;=J$7),IF('Plan de Tareas'!$J29="Completada",2,1),""))</f>
        <v/>
      </c>
      <c r="K30" s="36" t="str">
        <f>IF(OR($D30="",$E30=""),"",IF(AND($D30&lt;=K$7+6,$E30&gt;=K$7),IF('Plan de Tareas'!$J29="Completada",2,1),""))</f>
        <v/>
      </c>
      <c r="L30" s="36" t="str">
        <f>IF(OR($D30="",$E30=""),"",IF(AND($D30&lt;=L$7+6,$E30&gt;=L$7),IF('Plan de Tareas'!$J29="Completada",2,1),""))</f>
        <v/>
      </c>
      <c r="M30" s="36" t="str">
        <f>IF(OR($D30="",$E30=""),"",IF(AND($D30&lt;=M$7+6,$E30&gt;=M$7),IF('Plan de Tareas'!$J29="Completada",2,1),""))</f>
        <v/>
      </c>
      <c r="N30" s="36" t="str">
        <f>IF(OR($D30="",$E30=""),"",IF(AND($D30&lt;=N$7+6,$E30&gt;=N$7),IF('Plan de Tareas'!$J29="Completada",2,1),""))</f>
        <v/>
      </c>
      <c r="O30" s="36" t="str">
        <f>IF(OR($D30="",$E30=""),"",IF(AND($D30&lt;=O$7+6,$E30&gt;=O$7),IF('Plan de Tareas'!$J29="Completada",2,1),""))</f>
        <v/>
      </c>
      <c r="P30" s="36" t="str">
        <f>IF(OR($D30="",$E30=""),"",IF(AND($D30&lt;=P$7+6,$E30&gt;=P$7),IF('Plan de Tareas'!$J29="Completada",2,1),""))</f>
        <v/>
      </c>
      <c r="Q30" s="36" t="str">
        <f>IF(OR($D30="",$E30=""),"",IF(AND($D30&lt;=Q$7+6,$E30&gt;=Q$7),IF('Plan de Tareas'!$J29="Completada",2,1),""))</f>
        <v/>
      </c>
      <c r="R30" s="36" t="str">
        <f>IF(OR($D30="",$E30=""),"",IF(AND($D30&lt;=R$7+6,$E30&gt;=R$7),IF('Plan de Tareas'!$J29="Completada",2,1),""))</f>
        <v/>
      </c>
      <c r="S30" s="36" t="str">
        <f>IF(OR($D30="",$E30=""),"",IF(AND($D30&lt;=S$7+6,$E30&gt;=S$7),IF('Plan de Tareas'!$J29="Completada",2,1),""))</f>
        <v/>
      </c>
      <c r="T30" s="36" t="str">
        <f>IF(OR($D30="",$E30=""),"",IF(AND($D30&lt;=T$7+6,$E30&gt;=T$7),IF('Plan de Tareas'!$J29="Completada",2,1),""))</f>
        <v/>
      </c>
      <c r="U30" s="36" t="str">
        <f>IF(OR($D30="",$E30=""),"",IF(AND($D30&lt;=U$7+6,$E30&gt;=U$7),IF('Plan de Tareas'!$J29="Completada",2,1),""))</f>
        <v/>
      </c>
      <c r="V30" s="36" t="str">
        <f>IF(OR($D30="",$E30=""),"",IF(AND($D30&lt;=V$7+6,$E30&gt;=V$7),IF('Plan de Tareas'!$J29="Completada",2,1),""))</f>
        <v/>
      </c>
      <c r="W30" s="36" t="str">
        <f>IF(OR($D30="",$E30=""),"",IF(AND($D30&lt;=W$7+6,$E30&gt;=W$7),IF('Plan de Tareas'!$J29="Completada",2,1),""))</f>
        <v/>
      </c>
      <c r="X30" s="36" t="str">
        <f>IF(OR($D30="",$E30=""),"",IF(AND($D30&lt;=X$7+6,$E30&gt;=X$7),IF('Plan de Tareas'!$J29="Completada",2,1),""))</f>
        <v/>
      </c>
      <c r="Y30" s="36" t="str">
        <f>IF(OR($D30="",$E30=""),"",IF(AND($D30&lt;=Y$7+6,$E30&gt;=Y$7),IF('Plan de Tareas'!$J29="Completada",2,1),""))</f>
        <v/>
      </c>
      <c r="Z30" s="36" t="str">
        <f>IF(OR($D30="",$E30=""),"",IF(AND($D30&lt;=Z$7+6,$E30&gt;=Z$7),IF('Plan de Tareas'!$J29="Completada",2,1),""))</f>
        <v/>
      </c>
      <c r="AA30" s="36" t="str">
        <f>IF(OR($D30="",$E30=""),"",IF(AND($D30&lt;=AA$7+6,$E30&gt;=AA$7),IF('Plan de Tareas'!$J29="Completada",2,1),""))</f>
        <v/>
      </c>
      <c r="AB30" s="36" t="str">
        <f>IF(OR($D30="",$E30=""),"",IF(AND($D30&lt;=AB$7+6,$E30&gt;=AB$7),IF('Plan de Tareas'!$J29="Completada",2,1),""))</f>
        <v/>
      </c>
      <c r="AC30" s="36" t="str">
        <f>IF(OR($D30="",$E30=""),"",IF(AND($D30&lt;=AC$7+6,$E30&gt;=AC$7),IF('Plan de Tareas'!$J29="Completada",2,1),""))</f>
        <v/>
      </c>
      <c r="AD30" s="36" t="str">
        <f>IF(OR($D30="",$E30=""),"",IF(AND($D30&lt;=AD$7+6,$E30&gt;=AD$7),IF('Plan de Tareas'!$J29="Completada",2,1),""))</f>
        <v/>
      </c>
      <c r="AE30" s="36" t="str">
        <f>IF(OR($D30="",$E30=""),"",IF(AND($D30&lt;=AE$7+6,$E30&gt;=AE$7),IF('Plan de Tareas'!$J29="Completada",2,1),""))</f>
        <v/>
      </c>
    </row>
    <row r="31" spans="1:31" ht="15" customHeight="1" x14ac:dyDescent="0.3">
      <c r="A31" s="37" t="str">
        <f>IF('Plan de Tareas'!$C30="","",'Plan de Tareas'!$A30)</f>
        <v/>
      </c>
      <c r="B31" s="26" t="str">
        <f>IF('Plan de Tareas'!$C30="","",'Plan de Tareas'!$C30)</f>
        <v/>
      </c>
      <c r="C31" s="26" t="str">
        <f>IF('Plan de Tareas'!$C30="","",'Plan de Tareas'!$D30)</f>
        <v/>
      </c>
      <c r="D31" s="38" t="str">
        <f>IF('Plan de Tareas'!$F30="","",'Plan de Tareas'!$F30)</f>
        <v/>
      </c>
      <c r="E31" s="38" t="str">
        <f>IF('Plan de Tareas'!$G30="","",'Plan de Tareas'!$G30)</f>
        <v/>
      </c>
      <c r="F31" s="36" t="str">
        <f>IF(OR($D31="",$E31=""),"",IF(AND($D31&lt;=F$7+6,$E31&gt;=F$7),IF('Plan de Tareas'!$J30="Completada",2,1),""))</f>
        <v/>
      </c>
      <c r="G31" s="36" t="str">
        <f>IF(OR($D31="",$E31=""),"",IF(AND($D31&lt;=G$7+6,$E31&gt;=G$7),IF('Plan de Tareas'!$J30="Completada",2,1),""))</f>
        <v/>
      </c>
      <c r="H31" s="36" t="str">
        <f>IF(OR($D31="",$E31=""),"",IF(AND($D31&lt;=H$7+6,$E31&gt;=H$7),IF('Plan de Tareas'!$J30="Completada",2,1),""))</f>
        <v/>
      </c>
      <c r="I31" s="36" t="str">
        <f>IF(OR($D31="",$E31=""),"",IF(AND($D31&lt;=I$7+6,$E31&gt;=I$7),IF('Plan de Tareas'!$J30="Completada",2,1),""))</f>
        <v/>
      </c>
      <c r="J31" s="36" t="str">
        <f>IF(OR($D31="",$E31=""),"",IF(AND($D31&lt;=J$7+6,$E31&gt;=J$7),IF('Plan de Tareas'!$J30="Completada",2,1),""))</f>
        <v/>
      </c>
      <c r="K31" s="36" t="str">
        <f>IF(OR($D31="",$E31=""),"",IF(AND($D31&lt;=K$7+6,$E31&gt;=K$7),IF('Plan de Tareas'!$J30="Completada",2,1),""))</f>
        <v/>
      </c>
      <c r="L31" s="36" t="str">
        <f>IF(OR($D31="",$E31=""),"",IF(AND($D31&lt;=L$7+6,$E31&gt;=L$7),IF('Plan de Tareas'!$J30="Completada",2,1),""))</f>
        <v/>
      </c>
      <c r="M31" s="36" t="str">
        <f>IF(OR($D31="",$E31=""),"",IF(AND($D31&lt;=M$7+6,$E31&gt;=M$7),IF('Plan de Tareas'!$J30="Completada",2,1),""))</f>
        <v/>
      </c>
      <c r="N31" s="36" t="str">
        <f>IF(OR($D31="",$E31=""),"",IF(AND($D31&lt;=N$7+6,$E31&gt;=N$7),IF('Plan de Tareas'!$J30="Completada",2,1),""))</f>
        <v/>
      </c>
      <c r="O31" s="36" t="str">
        <f>IF(OR($D31="",$E31=""),"",IF(AND($D31&lt;=O$7+6,$E31&gt;=O$7),IF('Plan de Tareas'!$J30="Completada",2,1),""))</f>
        <v/>
      </c>
      <c r="P31" s="36" t="str">
        <f>IF(OR($D31="",$E31=""),"",IF(AND($D31&lt;=P$7+6,$E31&gt;=P$7),IF('Plan de Tareas'!$J30="Completada",2,1),""))</f>
        <v/>
      </c>
      <c r="Q31" s="36" t="str">
        <f>IF(OR($D31="",$E31=""),"",IF(AND($D31&lt;=Q$7+6,$E31&gt;=Q$7),IF('Plan de Tareas'!$J30="Completada",2,1),""))</f>
        <v/>
      </c>
      <c r="R31" s="36" t="str">
        <f>IF(OR($D31="",$E31=""),"",IF(AND($D31&lt;=R$7+6,$E31&gt;=R$7),IF('Plan de Tareas'!$J30="Completada",2,1),""))</f>
        <v/>
      </c>
      <c r="S31" s="36" t="str">
        <f>IF(OR($D31="",$E31=""),"",IF(AND($D31&lt;=S$7+6,$E31&gt;=S$7),IF('Plan de Tareas'!$J30="Completada",2,1),""))</f>
        <v/>
      </c>
      <c r="T31" s="36" t="str">
        <f>IF(OR($D31="",$E31=""),"",IF(AND($D31&lt;=T$7+6,$E31&gt;=T$7),IF('Plan de Tareas'!$J30="Completada",2,1),""))</f>
        <v/>
      </c>
      <c r="U31" s="36" t="str">
        <f>IF(OR($D31="",$E31=""),"",IF(AND($D31&lt;=U$7+6,$E31&gt;=U$7),IF('Plan de Tareas'!$J30="Completada",2,1),""))</f>
        <v/>
      </c>
      <c r="V31" s="36" t="str">
        <f>IF(OR($D31="",$E31=""),"",IF(AND($D31&lt;=V$7+6,$E31&gt;=V$7),IF('Plan de Tareas'!$J30="Completada",2,1),""))</f>
        <v/>
      </c>
      <c r="W31" s="36" t="str">
        <f>IF(OR($D31="",$E31=""),"",IF(AND($D31&lt;=W$7+6,$E31&gt;=W$7),IF('Plan de Tareas'!$J30="Completada",2,1),""))</f>
        <v/>
      </c>
      <c r="X31" s="36" t="str">
        <f>IF(OR($D31="",$E31=""),"",IF(AND($D31&lt;=X$7+6,$E31&gt;=X$7),IF('Plan de Tareas'!$J30="Completada",2,1),""))</f>
        <v/>
      </c>
      <c r="Y31" s="36" t="str">
        <f>IF(OR($D31="",$E31=""),"",IF(AND($D31&lt;=Y$7+6,$E31&gt;=Y$7),IF('Plan de Tareas'!$J30="Completada",2,1),""))</f>
        <v/>
      </c>
      <c r="Z31" s="36" t="str">
        <f>IF(OR($D31="",$E31=""),"",IF(AND($D31&lt;=Z$7+6,$E31&gt;=Z$7),IF('Plan de Tareas'!$J30="Completada",2,1),""))</f>
        <v/>
      </c>
      <c r="AA31" s="36" t="str">
        <f>IF(OR($D31="",$E31=""),"",IF(AND($D31&lt;=AA$7+6,$E31&gt;=AA$7),IF('Plan de Tareas'!$J30="Completada",2,1),""))</f>
        <v/>
      </c>
      <c r="AB31" s="36" t="str">
        <f>IF(OR($D31="",$E31=""),"",IF(AND($D31&lt;=AB$7+6,$E31&gt;=AB$7),IF('Plan de Tareas'!$J30="Completada",2,1),""))</f>
        <v/>
      </c>
      <c r="AC31" s="36" t="str">
        <f>IF(OR($D31="",$E31=""),"",IF(AND($D31&lt;=AC$7+6,$E31&gt;=AC$7),IF('Plan de Tareas'!$J30="Completada",2,1),""))</f>
        <v/>
      </c>
      <c r="AD31" s="36" t="str">
        <f>IF(OR($D31="",$E31=""),"",IF(AND($D31&lt;=AD$7+6,$E31&gt;=AD$7),IF('Plan de Tareas'!$J30="Completada",2,1),""))</f>
        <v/>
      </c>
      <c r="AE31" s="36" t="str">
        <f>IF(OR($D31="",$E31=""),"",IF(AND($D31&lt;=AE$7+6,$E31&gt;=AE$7),IF('Plan de Tareas'!$J30="Completada",2,1),""))</f>
        <v/>
      </c>
    </row>
    <row r="32" spans="1:31" ht="15" customHeight="1" x14ac:dyDescent="0.3">
      <c r="A32" s="34" t="str">
        <f>IF('Plan de Tareas'!$C31="","",'Plan de Tareas'!$A31)</f>
        <v/>
      </c>
      <c r="B32" s="20" t="str">
        <f>IF('Plan de Tareas'!$C31="","",'Plan de Tareas'!$C31)</f>
        <v/>
      </c>
      <c r="C32" s="20" t="str">
        <f>IF('Plan de Tareas'!$C31="","",'Plan de Tareas'!$D31)</f>
        <v/>
      </c>
      <c r="D32" s="35" t="str">
        <f>IF('Plan de Tareas'!$F31="","",'Plan de Tareas'!$F31)</f>
        <v/>
      </c>
      <c r="E32" s="35" t="str">
        <f>IF('Plan de Tareas'!$G31="","",'Plan de Tareas'!$G31)</f>
        <v/>
      </c>
      <c r="F32" s="36" t="str">
        <f>IF(OR($D32="",$E32=""),"",IF(AND($D32&lt;=F$7+6,$E32&gt;=F$7),IF('Plan de Tareas'!$J31="Completada",2,1),""))</f>
        <v/>
      </c>
      <c r="G32" s="36" t="str">
        <f>IF(OR($D32="",$E32=""),"",IF(AND($D32&lt;=G$7+6,$E32&gt;=G$7),IF('Plan de Tareas'!$J31="Completada",2,1),""))</f>
        <v/>
      </c>
      <c r="H32" s="36" t="str">
        <f>IF(OR($D32="",$E32=""),"",IF(AND($D32&lt;=H$7+6,$E32&gt;=H$7),IF('Plan de Tareas'!$J31="Completada",2,1),""))</f>
        <v/>
      </c>
      <c r="I32" s="36" t="str">
        <f>IF(OR($D32="",$E32=""),"",IF(AND($D32&lt;=I$7+6,$E32&gt;=I$7),IF('Plan de Tareas'!$J31="Completada",2,1),""))</f>
        <v/>
      </c>
      <c r="J32" s="36" t="str">
        <f>IF(OR($D32="",$E32=""),"",IF(AND($D32&lt;=J$7+6,$E32&gt;=J$7),IF('Plan de Tareas'!$J31="Completada",2,1),""))</f>
        <v/>
      </c>
      <c r="K32" s="36" t="str">
        <f>IF(OR($D32="",$E32=""),"",IF(AND($D32&lt;=K$7+6,$E32&gt;=K$7),IF('Plan de Tareas'!$J31="Completada",2,1),""))</f>
        <v/>
      </c>
      <c r="L32" s="36" t="str">
        <f>IF(OR($D32="",$E32=""),"",IF(AND($D32&lt;=L$7+6,$E32&gt;=L$7),IF('Plan de Tareas'!$J31="Completada",2,1),""))</f>
        <v/>
      </c>
      <c r="M32" s="36" t="str">
        <f>IF(OR($D32="",$E32=""),"",IF(AND($D32&lt;=M$7+6,$E32&gt;=M$7),IF('Plan de Tareas'!$J31="Completada",2,1),""))</f>
        <v/>
      </c>
      <c r="N32" s="36" t="str">
        <f>IF(OR($D32="",$E32=""),"",IF(AND($D32&lt;=N$7+6,$E32&gt;=N$7),IF('Plan de Tareas'!$J31="Completada",2,1),""))</f>
        <v/>
      </c>
      <c r="O32" s="36" t="str">
        <f>IF(OR($D32="",$E32=""),"",IF(AND($D32&lt;=O$7+6,$E32&gt;=O$7),IF('Plan de Tareas'!$J31="Completada",2,1),""))</f>
        <v/>
      </c>
      <c r="P32" s="36" t="str">
        <f>IF(OR($D32="",$E32=""),"",IF(AND($D32&lt;=P$7+6,$E32&gt;=P$7),IF('Plan de Tareas'!$J31="Completada",2,1),""))</f>
        <v/>
      </c>
      <c r="Q32" s="36" t="str">
        <f>IF(OR($D32="",$E32=""),"",IF(AND($D32&lt;=Q$7+6,$E32&gt;=Q$7),IF('Plan de Tareas'!$J31="Completada",2,1),""))</f>
        <v/>
      </c>
      <c r="R32" s="36" t="str">
        <f>IF(OR($D32="",$E32=""),"",IF(AND($D32&lt;=R$7+6,$E32&gt;=R$7),IF('Plan de Tareas'!$J31="Completada",2,1),""))</f>
        <v/>
      </c>
      <c r="S32" s="36" t="str">
        <f>IF(OR($D32="",$E32=""),"",IF(AND($D32&lt;=S$7+6,$E32&gt;=S$7),IF('Plan de Tareas'!$J31="Completada",2,1),""))</f>
        <v/>
      </c>
      <c r="T32" s="36" t="str">
        <f>IF(OR($D32="",$E32=""),"",IF(AND($D32&lt;=T$7+6,$E32&gt;=T$7),IF('Plan de Tareas'!$J31="Completada",2,1),""))</f>
        <v/>
      </c>
      <c r="U32" s="36" t="str">
        <f>IF(OR($D32="",$E32=""),"",IF(AND($D32&lt;=U$7+6,$E32&gt;=U$7),IF('Plan de Tareas'!$J31="Completada",2,1),""))</f>
        <v/>
      </c>
      <c r="V32" s="36" t="str">
        <f>IF(OR($D32="",$E32=""),"",IF(AND($D32&lt;=V$7+6,$E32&gt;=V$7),IF('Plan de Tareas'!$J31="Completada",2,1),""))</f>
        <v/>
      </c>
      <c r="W32" s="36" t="str">
        <f>IF(OR($D32="",$E32=""),"",IF(AND($D32&lt;=W$7+6,$E32&gt;=W$7),IF('Plan de Tareas'!$J31="Completada",2,1),""))</f>
        <v/>
      </c>
      <c r="X32" s="36" t="str">
        <f>IF(OR($D32="",$E32=""),"",IF(AND($D32&lt;=X$7+6,$E32&gt;=X$7),IF('Plan de Tareas'!$J31="Completada",2,1),""))</f>
        <v/>
      </c>
      <c r="Y32" s="36" t="str">
        <f>IF(OR($D32="",$E32=""),"",IF(AND($D32&lt;=Y$7+6,$E32&gt;=Y$7),IF('Plan de Tareas'!$J31="Completada",2,1),""))</f>
        <v/>
      </c>
      <c r="Z32" s="36" t="str">
        <f>IF(OR($D32="",$E32=""),"",IF(AND($D32&lt;=Z$7+6,$E32&gt;=Z$7),IF('Plan de Tareas'!$J31="Completada",2,1),""))</f>
        <v/>
      </c>
      <c r="AA32" s="36" t="str">
        <f>IF(OR($D32="",$E32=""),"",IF(AND($D32&lt;=AA$7+6,$E32&gt;=AA$7),IF('Plan de Tareas'!$J31="Completada",2,1),""))</f>
        <v/>
      </c>
      <c r="AB32" s="36" t="str">
        <f>IF(OR($D32="",$E32=""),"",IF(AND($D32&lt;=AB$7+6,$E32&gt;=AB$7),IF('Plan de Tareas'!$J31="Completada",2,1),""))</f>
        <v/>
      </c>
      <c r="AC32" s="36" t="str">
        <f>IF(OR($D32="",$E32=""),"",IF(AND($D32&lt;=AC$7+6,$E32&gt;=AC$7),IF('Plan de Tareas'!$J31="Completada",2,1),""))</f>
        <v/>
      </c>
      <c r="AD32" s="36" t="str">
        <f>IF(OR($D32="",$E32=""),"",IF(AND($D32&lt;=AD$7+6,$E32&gt;=AD$7),IF('Plan de Tareas'!$J31="Completada",2,1),""))</f>
        <v/>
      </c>
      <c r="AE32" s="36" t="str">
        <f>IF(OR($D32="",$E32=""),"",IF(AND($D32&lt;=AE$7+6,$E32&gt;=AE$7),IF('Plan de Tareas'!$J31="Completada",2,1),""))</f>
        <v/>
      </c>
    </row>
    <row r="33" spans="1:31" ht="15" customHeight="1" x14ac:dyDescent="0.3">
      <c r="A33" s="37" t="str">
        <f>IF('Plan de Tareas'!$C32="","",'Plan de Tareas'!$A32)</f>
        <v/>
      </c>
      <c r="B33" s="26" t="str">
        <f>IF('Plan de Tareas'!$C32="","",'Plan de Tareas'!$C32)</f>
        <v/>
      </c>
      <c r="C33" s="26" t="str">
        <f>IF('Plan de Tareas'!$C32="","",'Plan de Tareas'!$D32)</f>
        <v/>
      </c>
      <c r="D33" s="38" t="str">
        <f>IF('Plan de Tareas'!$F32="","",'Plan de Tareas'!$F32)</f>
        <v/>
      </c>
      <c r="E33" s="38" t="str">
        <f>IF('Plan de Tareas'!$G32="","",'Plan de Tareas'!$G32)</f>
        <v/>
      </c>
      <c r="F33" s="36" t="str">
        <f>IF(OR($D33="",$E33=""),"",IF(AND($D33&lt;=F$7+6,$E33&gt;=F$7),IF('Plan de Tareas'!$J32="Completada",2,1),""))</f>
        <v/>
      </c>
      <c r="G33" s="36" t="str">
        <f>IF(OR($D33="",$E33=""),"",IF(AND($D33&lt;=G$7+6,$E33&gt;=G$7),IF('Plan de Tareas'!$J32="Completada",2,1),""))</f>
        <v/>
      </c>
      <c r="H33" s="36" t="str">
        <f>IF(OR($D33="",$E33=""),"",IF(AND($D33&lt;=H$7+6,$E33&gt;=H$7),IF('Plan de Tareas'!$J32="Completada",2,1),""))</f>
        <v/>
      </c>
      <c r="I33" s="36" t="str">
        <f>IF(OR($D33="",$E33=""),"",IF(AND($D33&lt;=I$7+6,$E33&gt;=I$7),IF('Plan de Tareas'!$J32="Completada",2,1),""))</f>
        <v/>
      </c>
      <c r="J33" s="36" t="str">
        <f>IF(OR($D33="",$E33=""),"",IF(AND($D33&lt;=J$7+6,$E33&gt;=J$7),IF('Plan de Tareas'!$J32="Completada",2,1),""))</f>
        <v/>
      </c>
      <c r="K33" s="36" t="str">
        <f>IF(OR($D33="",$E33=""),"",IF(AND($D33&lt;=K$7+6,$E33&gt;=K$7),IF('Plan de Tareas'!$J32="Completada",2,1),""))</f>
        <v/>
      </c>
      <c r="L33" s="36" t="str">
        <f>IF(OR($D33="",$E33=""),"",IF(AND($D33&lt;=L$7+6,$E33&gt;=L$7),IF('Plan de Tareas'!$J32="Completada",2,1),""))</f>
        <v/>
      </c>
      <c r="M33" s="36" t="str">
        <f>IF(OR($D33="",$E33=""),"",IF(AND($D33&lt;=M$7+6,$E33&gt;=M$7),IF('Plan de Tareas'!$J32="Completada",2,1),""))</f>
        <v/>
      </c>
      <c r="N33" s="36" t="str">
        <f>IF(OR($D33="",$E33=""),"",IF(AND($D33&lt;=N$7+6,$E33&gt;=N$7),IF('Plan de Tareas'!$J32="Completada",2,1),""))</f>
        <v/>
      </c>
      <c r="O33" s="36" t="str">
        <f>IF(OR($D33="",$E33=""),"",IF(AND($D33&lt;=O$7+6,$E33&gt;=O$7),IF('Plan de Tareas'!$J32="Completada",2,1),""))</f>
        <v/>
      </c>
      <c r="P33" s="36" t="str">
        <f>IF(OR($D33="",$E33=""),"",IF(AND($D33&lt;=P$7+6,$E33&gt;=P$7),IF('Plan de Tareas'!$J32="Completada",2,1),""))</f>
        <v/>
      </c>
      <c r="Q33" s="36" t="str">
        <f>IF(OR($D33="",$E33=""),"",IF(AND($D33&lt;=Q$7+6,$E33&gt;=Q$7),IF('Plan de Tareas'!$J32="Completada",2,1),""))</f>
        <v/>
      </c>
      <c r="R33" s="36" t="str">
        <f>IF(OR($D33="",$E33=""),"",IF(AND($D33&lt;=R$7+6,$E33&gt;=R$7),IF('Plan de Tareas'!$J32="Completada",2,1),""))</f>
        <v/>
      </c>
      <c r="S33" s="36" t="str">
        <f>IF(OR($D33="",$E33=""),"",IF(AND($D33&lt;=S$7+6,$E33&gt;=S$7),IF('Plan de Tareas'!$J32="Completada",2,1),""))</f>
        <v/>
      </c>
      <c r="T33" s="36" t="str">
        <f>IF(OR($D33="",$E33=""),"",IF(AND($D33&lt;=T$7+6,$E33&gt;=T$7),IF('Plan de Tareas'!$J32="Completada",2,1),""))</f>
        <v/>
      </c>
      <c r="U33" s="36" t="str">
        <f>IF(OR($D33="",$E33=""),"",IF(AND($D33&lt;=U$7+6,$E33&gt;=U$7),IF('Plan de Tareas'!$J32="Completada",2,1),""))</f>
        <v/>
      </c>
      <c r="V33" s="36" t="str">
        <f>IF(OR($D33="",$E33=""),"",IF(AND($D33&lt;=V$7+6,$E33&gt;=V$7),IF('Plan de Tareas'!$J32="Completada",2,1),""))</f>
        <v/>
      </c>
      <c r="W33" s="36" t="str">
        <f>IF(OR($D33="",$E33=""),"",IF(AND($D33&lt;=W$7+6,$E33&gt;=W$7),IF('Plan de Tareas'!$J32="Completada",2,1),""))</f>
        <v/>
      </c>
      <c r="X33" s="36" t="str">
        <f>IF(OR($D33="",$E33=""),"",IF(AND($D33&lt;=X$7+6,$E33&gt;=X$7),IF('Plan de Tareas'!$J32="Completada",2,1),""))</f>
        <v/>
      </c>
      <c r="Y33" s="36" t="str">
        <f>IF(OR($D33="",$E33=""),"",IF(AND($D33&lt;=Y$7+6,$E33&gt;=Y$7),IF('Plan de Tareas'!$J32="Completada",2,1),""))</f>
        <v/>
      </c>
      <c r="Z33" s="36" t="str">
        <f>IF(OR($D33="",$E33=""),"",IF(AND($D33&lt;=Z$7+6,$E33&gt;=Z$7),IF('Plan de Tareas'!$J32="Completada",2,1),""))</f>
        <v/>
      </c>
      <c r="AA33" s="36" t="str">
        <f>IF(OR($D33="",$E33=""),"",IF(AND($D33&lt;=AA$7+6,$E33&gt;=AA$7),IF('Plan de Tareas'!$J32="Completada",2,1),""))</f>
        <v/>
      </c>
      <c r="AB33" s="36" t="str">
        <f>IF(OR($D33="",$E33=""),"",IF(AND($D33&lt;=AB$7+6,$E33&gt;=AB$7),IF('Plan de Tareas'!$J32="Completada",2,1),""))</f>
        <v/>
      </c>
      <c r="AC33" s="36" t="str">
        <f>IF(OR($D33="",$E33=""),"",IF(AND($D33&lt;=AC$7+6,$E33&gt;=AC$7),IF('Plan de Tareas'!$J32="Completada",2,1),""))</f>
        <v/>
      </c>
      <c r="AD33" s="36" t="str">
        <f>IF(OR($D33="",$E33=""),"",IF(AND($D33&lt;=AD$7+6,$E33&gt;=AD$7),IF('Plan de Tareas'!$J32="Completada",2,1),""))</f>
        <v/>
      </c>
      <c r="AE33" s="36" t="str">
        <f>IF(OR($D33="",$E33=""),"",IF(AND($D33&lt;=AE$7+6,$E33&gt;=AE$7),IF('Plan de Tareas'!$J32="Completada",2,1),""))</f>
        <v/>
      </c>
    </row>
    <row r="34" spans="1:31" ht="15" customHeight="1" x14ac:dyDescent="0.3">
      <c r="A34" s="34" t="str">
        <f>IF('Plan de Tareas'!$C33="","",'Plan de Tareas'!$A33)</f>
        <v/>
      </c>
      <c r="B34" s="20" t="str">
        <f>IF('Plan de Tareas'!$C33="","",'Plan de Tareas'!$C33)</f>
        <v/>
      </c>
      <c r="C34" s="20" t="str">
        <f>IF('Plan de Tareas'!$C33="","",'Plan de Tareas'!$D33)</f>
        <v/>
      </c>
      <c r="D34" s="35" t="str">
        <f>IF('Plan de Tareas'!$F33="","",'Plan de Tareas'!$F33)</f>
        <v/>
      </c>
      <c r="E34" s="35" t="str">
        <f>IF('Plan de Tareas'!$G33="","",'Plan de Tareas'!$G33)</f>
        <v/>
      </c>
      <c r="F34" s="36" t="str">
        <f>IF(OR($D34="",$E34=""),"",IF(AND($D34&lt;=F$7+6,$E34&gt;=F$7),IF('Plan de Tareas'!$J33="Completada",2,1),""))</f>
        <v/>
      </c>
      <c r="G34" s="36" t="str">
        <f>IF(OR($D34="",$E34=""),"",IF(AND($D34&lt;=G$7+6,$E34&gt;=G$7),IF('Plan de Tareas'!$J33="Completada",2,1),""))</f>
        <v/>
      </c>
      <c r="H34" s="36" t="str">
        <f>IF(OR($D34="",$E34=""),"",IF(AND($D34&lt;=H$7+6,$E34&gt;=H$7),IF('Plan de Tareas'!$J33="Completada",2,1),""))</f>
        <v/>
      </c>
      <c r="I34" s="36" t="str">
        <f>IF(OR($D34="",$E34=""),"",IF(AND($D34&lt;=I$7+6,$E34&gt;=I$7),IF('Plan de Tareas'!$J33="Completada",2,1),""))</f>
        <v/>
      </c>
      <c r="J34" s="36" t="str">
        <f>IF(OR($D34="",$E34=""),"",IF(AND($D34&lt;=J$7+6,$E34&gt;=J$7),IF('Plan de Tareas'!$J33="Completada",2,1),""))</f>
        <v/>
      </c>
      <c r="K34" s="36" t="str">
        <f>IF(OR($D34="",$E34=""),"",IF(AND($D34&lt;=K$7+6,$E34&gt;=K$7),IF('Plan de Tareas'!$J33="Completada",2,1),""))</f>
        <v/>
      </c>
      <c r="L34" s="36" t="str">
        <f>IF(OR($D34="",$E34=""),"",IF(AND($D34&lt;=L$7+6,$E34&gt;=L$7),IF('Plan de Tareas'!$J33="Completada",2,1),""))</f>
        <v/>
      </c>
      <c r="M34" s="36" t="str">
        <f>IF(OR($D34="",$E34=""),"",IF(AND($D34&lt;=M$7+6,$E34&gt;=M$7),IF('Plan de Tareas'!$J33="Completada",2,1),""))</f>
        <v/>
      </c>
      <c r="N34" s="36" t="str">
        <f>IF(OR($D34="",$E34=""),"",IF(AND($D34&lt;=N$7+6,$E34&gt;=N$7),IF('Plan de Tareas'!$J33="Completada",2,1),""))</f>
        <v/>
      </c>
      <c r="O34" s="36" t="str">
        <f>IF(OR($D34="",$E34=""),"",IF(AND($D34&lt;=O$7+6,$E34&gt;=O$7),IF('Plan de Tareas'!$J33="Completada",2,1),""))</f>
        <v/>
      </c>
      <c r="P34" s="36" t="str">
        <f>IF(OR($D34="",$E34=""),"",IF(AND($D34&lt;=P$7+6,$E34&gt;=P$7),IF('Plan de Tareas'!$J33="Completada",2,1),""))</f>
        <v/>
      </c>
      <c r="Q34" s="36" t="str">
        <f>IF(OR($D34="",$E34=""),"",IF(AND($D34&lt;=Q$7+6,$E34&gt;=Q$7),IF('Plan de Tareas'!$J33="Completada",2,1),""))</f>
        <v/>
      </c>
      <c r="R34" s="36" t="str">
        <f>IF(OR($D34="",$E34=""),"",IF(AND($D34&lt;=R$7+6,$E34&gt;=R$7),IF('Plan de Tareas'!$J33="Completada",2,1),""))</f>
        <v/>
      </c>
      <c r="S34" s="36" t="str">
        <f>IF(OR($D34="",$E34=""),"",IF(AND($D34&lt;=S$7+6,$E34&gt;=S$7),IF('Plan de Tareas'!$J33="Completada",2,1),""))</f>
        <v/>
      </c>
      <c r="T34" s="36" t="str">
        <f>IF(OR($D34="",$E34=""),"",IF(AND($D34&lt;=T$7+6,$E34&gt;=T$7),IF('Plan de Tareas'!$J33="Completada",2,1),""))</f>
        <v/>
      </c>
      <c r="U34" s="36" t="str">
        <f>IF(OR($D34="",$E34=""),"",IF(AND($D34&lt;=U$7+6,$E34&gt;=U$7),IF('Plan de Tareas'!$J33="Completada",2,1),""))</f>
        <v/>
      </c>
      <c r="V34" s="36" t="str">
        <f>IF(OR($D34="",$E34=""),"",IF(AND($D34&lt;=V$7+6,$E34&gt;=V$7),IF('Plan de Tareas'!$J33="Completada",2,1),""))</f>
        <v/>
      </c>
      <c r="W34" s="36" t="str">
        <f>IF(OR($D34="",$E34=""),"",IF(AND($D34&lt;=W$7+6,$E34&gt;=W$7),IF('Plan de Tareas'!$J33="Completada",2,1),""))</f>
        <v/>
      </c>
      <c r="X34" s="36" t="str">
        <f>IF(OR($D34="",$E34=""),"",IF(AND($D34&lt;=X$7+6,$E34&gt;=X$7),IF('Plan de Tareas'!$J33="Completada",2,1),""))</f>
        <v/>
      </c>
      <c r="Y34" s="36" t="str">
        <f>IF(OR($D34="",$E34=""),"",IF(AND($D34&lt;=Y$7+6,$E34&gt;=Y$7),IF('Plan de Tareas'!$J33="Completada",2,1),""))</f>
        <v/>
      </c>
      <c r="Z34" s="36" t="str">
        <f>IF(OR($D34="",$E34=""),"",IF(AND($D34&lt;=Z$7+6,$E34&gt;=Z$7),IF('Plan de Tareas'!$J33="Completada",2,1),""))</f>
        <v/>
      </c>
      <c r="AA34" s="36" t="str">
        <f>IF(OR($D34="",$E34=""),"",IF(AND($D34&lt;=AA$7+6,$E34&gt;=AA$7),IF('Plan de Tareas'!$J33="Completada",2,1),""))</f>
        <v/>
      </c>
      <c r="AB34" s="36" t="str">
        <f>IF(OR($D34="",$E34=""),"",IF(AND($D34&lt;=AB$7+6,$E34&gt;=AB$7),IF('Plan de Tareas'!$J33="Completada",2,1),""))</f>
        <v/>
      </c>
      <c r="AC34" s="36" t="str">
        <f>IF(OR($D34="",$E34=""),"",IF(AND($D34&lt;=AC$7+6,$E34&gt;=AC$7),IF('Plan de Tareas'!$J33="Completada",2,1),""))</f>
        <v/>
      </c>
      <c r="AD34" s="36" t="str">
        <f>IF(OR($D34="",$E34=""),"",IF(AND($D34&lt;=AD$7+6,$E34&gt;=AD$7),IF('Plan de Tareas'!$J33="Completada",2,1),""))</f>
        <v/>
      </c>
      <c r="AE34" s="36" t="str">
        <f>IF(OR($D34="",$E34=""),"",IF(AND($D34&lt;=AE$7+6,$E34&gt;=AE$7),IF('Plan de Tareas'!$J33="Completada",2,1),""))</f>
        <v/>
      </c>
    </row>
    <row r="35" spans="1:31" ht="15" customHeight="1" x14ac:dyDescent="0.3">
      <c r="A35" s="37" t="str">
        <f>IF('Plan de Tareas'!$C34="","",'Plan de Tareas'!$A34)</f>
        <v/>
      </c>
      <c r="B35" s="26" t="str">
        <f>IF('Plan de Tareas'!$C34="","",'Plan de Tareas'!$C34)</f>
        <v/>
      </c>
      <c r="C35" s="26" t="str">
        <f>IF('Plan de Tareas'!$C34="","",'Plan de Tareas'!$D34)</f>
        <v/>
      </c>
      <c r="D35" s="38" t="str">
        <f>IF('Plan de Tareas'!$F34="","",'Plan de Tareas'!$F34)</f>
        <v/>
      </c>
      <c r="E35" s="38" t="str">
        <f>IF('Plan de Tareas'!$G34="","",'Plan de Tareas'!$G34)</f>
        <v/>
      </c>
      <c r="F35" s="36" t="str">
        <f>IF(OR($D35="",$E35=""),"",IF(AND($D35&lt;=F$7+6,$E35&gt;=F$7),IF('Plan de Tareas'!$J34="Completada",2,1),""))</f>
        <v/>
      </c>
      <c r="G35" s="36" t="str">
        <f>IF(OR($D35="",$E35=""),"",IF(AND($D35&lt;=G$7+6,$E35&gt;=G$7),IF('Plan de Tareas'!$J34="Completada",2,1),""))</f>
        <v/>
      </c>
      <c r="H35" s="36" t="str">
        <f>IF(OR($D35="",$E35=""),"",IF(AND($D35&lt;=H$7+6,$E35&gt;=H$7),IF('Plan de Tareas'!$J34="Completada",2,1),""))</f>
        <v/>
      </c>
      <c r="I35" s="36" t="str">
        <f>IF(OR($D35="",$E35=""),"",IF(AND($D35&lt;=I$7+6,$E35&gt;=I$7),IF('Plan de Tareas'!$J34="Completada",2,1),""))</f>
        <v/>
      </c>
      <c r="J35" s="36" t="str">
        <f>IF(OR($D35="",$E35=""),"",IF(AND($D35&lt;=J$7+6,$E35&gt;=J$7),IF('Plan de Tareas'!$J34="Completada",2,1),""))</f>
        <v/>
      </c>
      <c r="K35" s="36" t="str">
        <f>IF(OR($D35="",$E35=""),"",IF(AND($D35&lt;=K$7+6,$E35&gt;=K$7),IF('Plan de Tareas'!$J34="Completada",2,1),""))</f>
        <v/>
      </c>
      <c r="L35" s="36" t="str">
        <f>IF(OR($D35="",$E35=""),"",IF(AND($D35&lt;=L$7+6,$E35&gt;=L$7),IF('Plan de Tareas'!$J34="Completada",2,1),""))</f>
        <v/>
      </c>
      <c r="M35" s="36" t="str">
        <f>IF(OR($D35="",$E35=""),"",IF(AND($D35&lt;=M$7+6,$E35&gt;=M$7),IF('Plan de Tareas'!$J34="Completada",2,1),""))</f>
        <v/>
      </c>
      <c r="N35" s="36" t="str">
        <f>IF(OR($D35="",$E35=""),"",IF(AND($D35&lt;=N$7+6,$E35&gt;=N$7),IF('Plan de Tareas'!$J34="Completada",2,1),""))</f>
        <v/>
      </c>
      <c r="O35" s="36" t="str">
        <f>IF(OR($D35="",$E35=""),"",IF(AND($D35&lt;=O$7+6,$E35&gt;=O$7),IF('Plan de Tareas'!$J34="Completada",2,1),""))</f>
        <v/>
      </c>
      <c r="P35" s="36" t="str">
        <f>IF(OR($D35="",$E35=""),"",IF(AND($D35&lt;=P$7+6,$E35&gt;=P$7),IF('Plan de Tareas'!$J34="Completada",2,1),""))</f>
        <v/>
      </c>
      <c r="Q35" s="36" t="str">
        <f>IF(OR($D35="",$E35=""),"",IF(AND($D35&lt;=Q$7+6,$E35&gt;=Q$7),IF('Plan de Tareas'!$J34="Completada",2,1),""))</f>
        <v/>
      </c>
      <c r="R35" s="36" t="str">
        <f>IF(OR($D35="",$E35=""),"",IF(AND($D35&lt;=R$7+6,$E35&gt;=R$7),IF('Plan de Tareas'!$J34="Completada",2,1),""))</f>
        <v/>
      </c>
      <c r="S35" s="36" t="str">
        <f>IF(OR($D35="",$E35=""),"",IF(AND($D35&lt;=S$7+6,$E35&gt;=S$7),IF('Plan de Tareas'!$J34="Completada",2,1),""))</f>
        <v/>
      </c>
      <c r="T35" s="36" t="str">
        <f>IF(OR($D35="",$E35=""),"",IF(AND($D35&lt;=T$7+6,$E35&gt;=T$7),IF('Plan de Tareas'!$J34="Completada",2,1),""))</f>
        <v/>
      </c>
      <c r="U35" s="36" t="str">
        <f>IF(OR($D35="",$E35=""),"",IF(AND($D35&lt;=U$7+6,$E35&gt;=U$7),IF('Plan de Tareas'!$J34="Completada",2,1),""))</f>
        <v/>
      </c>
      <c r="V35" s="36" t="str">
        <f>IF(OR($D35="",$E35=""),"",IF(AND($D35&lt;=V$7+6,$E35&gt;=V$7),IF('Plan de Tareas'!$J34="Completada",2,1),""))</f>
        <v/>
      </c>
      <c r="W35" s="36" t="str">
        <f>IF(OR($D35="",$E35=""),"",IF(AND($D35&lt;=W$7+6,$E35&gt;=W$7),IF('Plan de Tareas'!$J34="Completada",2,1),""))</f>
        <v/>
      </c>
      <c r="X35" s="36" t="str">
        <f>IF(OR($D35="",$E35=""),"",IF(AND($D35&lt;=X$7+6,$E35&gt;=X$7),IF('Plan de Tareas'!$J34="Completada",2,1),""))</f>
        <v/>
      </c>
      <c r="Y35" s="36" t="str">
        <f>IF(OR($D35="",$E35=""),"",IF(AND($D35&lt;=Y$7+6,$E35&gt;=Y$7),IF('Plan de Tareas'!$J34="Completada",2,1),""))</f>
        <v/>
      </c>
      <c r="Z35" s="36" t="str">
        <f>IF(OR($D35="",$E35=""),"",IF(AND($D35&lt;=Z$7+6,$E35&gt;=Z$7),IF('Plan de Tareas'!$J34="Completada",2,1),""))</f>
        <v/>
      </c>
      <c r="AA35" s="36" t="str">
        <f>IF(OR($D35="",$E35=""),"",IF(AND($D35&lt;=AA$7+6,$E35&gt;=AA$7),IF('Plan de Tareas'!$J34="Completada",2,1),""))</f>
        <v/>
      </c>
      <c r="AB35" s="36" t="str">
        <f>IF(OR($D35="",$E35=""),"",IF(AND($D35&lt;=AB$7+6,$E35&gt;=AB$7),IF('Plan de Tareas'!$J34="Completada",2,1),""))</f>
        <v/>
      </c>
      <c r="AC35" s="36" t="str">
        <f>IF(OR($D35="",$E35=""),"",IF(AND($D35&lt;=AC$7+6,$E35&gt;=AC$7),IF('Plan de Tareas'!$J34="Completada",2,1),""))</f>
        <v/>
      </c>
      <c r="AD35" s="36" t="str">
        <f>IF(OR($D35="",$E35=""),"",IF(AND($D35&lt;=AD$7+6,$E35&gt;=AD$7),IF('Plan de Tareas'!$J34="Completada",2,1),""))</f>
        <v/>
      </c>
      <c r="AE35" s="36" t="str">
        <f>IF(OR($D35="",$E35=""),"",IF(AND($D35&lt;=AE$7+6,$E35&gt;=AE$7),IF('Plan de Tareas'!$J34="Completada",2,1),""))</f>
        <v/>
      </c>
    </row>
    <row r="36" spans="1:31" ht="15" customHeight="1" x14ac:dyDescent="0.3">
      <c r="A36" s="34" t="str">
        <f>IF('Plan de Tareas'!$C35="","",'Plan de Tareas'!$A35)</f>
        <v/>
      </c>
      <c r="B36" s="20" t="str">
        <f>IF('Plan de Tareas'!$C35="","",'Plan de Tareas'!$C35)</f>
        <v/>
      </c>
      <c r="C36" s="20" t="str">
        <f>IF('Plan de Tareas'!$C35="","",'Plan de Tareas'!$D35)</f>
        <v/>
      </c>
      <c r="D36" s="35" t="str">
        <f>IF('Plan de Tareas'!$F35="","",'Plan de Tareas'!$F35)</f>
        <v/>
      </c>
      <c r="E36" s="35" t="str">
        <f>IF('Plan de Tareas'!$G35="","",'Plan de Tareas'!$G35)</f>
        <v/>
      </c>
      <c r="F36" s="36" t="str">
        <f>IF(OR($D36="",$E36=""),"",IF(AND($D36&lt;=F$7+6,$E36&gt;=F$7),IF('Plan de Tareas'!$J35="Completada",2,1),""))</f>
        <v/>
      </c>
      <c r="G36" s="36" t="str">
        <f>IF(OR($D36="",$E36=""),"",IF(AND($D36&lt;=G$7+6,$E36&gt;=G$7),IF('Plan de Tareas'!$J35="Completada",2,1),""))</f>
        <v/>
      </c>
      <c r="H36" s="36" t="str">
        <f>IF(OR($D36="",$E36=""),"",IF(AND($D36&lt;=H$7+6,$E36&gt;=H$7),IF('Plan de Tareas'!$J35="Completada",2,1),""))</f>
        <v/>
      </c>
      <c r="I36" s="36" t="str">
        <f>IF(OR($D36="",$E36=""),"",IF(AND($D36&lt;=I$7+6,$E36&gt;=I$7),IF('Plan de Tareas'!$J35="Completada",2,1),""))</f>
        <v/>
      </c>
      <c r="J36" s="36" t="str">
        <f>IF(OR($D36="",$E36=""),"",IF(AND($D36&lt;=J$7+6,$E36&gt;=J$7),IF('Plan de Tareas'!$J35="Completada",2,1),""))</f>
        <v/>
      </c>
      <c r="K36" s="36" t="str">
        <f>IF(OR($D36="",$E36=""),"",IF(AND($D36&lt;=K$7+6,$E36&gt;=K$7),IF('Plan de Tareas'!$J35="Completada",2,1),""))</f>
        <v/>
      </c>
      <c r="L36" s="36" t="str">
        <f>IF(OR($D36="",$E36=""),"",IF(AND($D36&lt;=L$7+6,$E36&gt;=L$7),IF('Plan de Tareas'!$J35="Completada",2,1),""))</f>
        <v/>
      </c>
      <c r="M36" s="36" t="str">
        <f>IF(OR($D36="",$E36=""),"",IF(AND($D36&lt;=M$7+6,$E36&gt;=M$7),IF('Plan de Tareas'!$J35="Completada",2,1),""))</f>
        <v/>
      </c>
      <c r="N36" s="36" t="str">
        <f>IF(OR($D36="",$E36=""),"",IF(AND($D36&lt;=N$7+6,$E36&gt;=N$7),IF('Plan de Tareas'!$J35="Completada",2,1),""))</f>
        <v/>
      </c>
      <c r="O36" s="36" t="str">
        <f>IF(OR($D36="",$E36=""),"",IF(AND($D36&lt;=O$7+6,$E36&gt;=O$7),IF('Plan de Tareas'!$J35="Completada",2,1),""))</f>
        <v/>
      </c>
      <c r="P36" s="36" t="str">
        <f>IF(OR($D36="",$E36=""),"",IF(AND($D36&lt;=P$7+6,$E36&gt;=P$7),IF('Plan de Tareas'!$J35="Completada",2,1),""))</f>
        <v/>
      </c>
      <c r="Q36" s="36" t="str">
        <f>IF(OR($D36="",$E36=""),"",IF(AND($D36&lt;=Q$7+6,$E36&gt;=Q$7),IF('Plan de Tareas'!$J35="Completada",2,1),""))</f>
        <v/>
      </c>
      <c r="R36" s="36" t="str">
        <f>IF(OR($D36="",$E36=""),"",IF(AND($D36&lt;=R$7+6,$E36&gt;=R$7),IF('Plan de Tareas'!$J35="Completada",2,1),""))</f>
        <v/>
      </c>
      <c r="S36" s="36" t="str">
        <f>IF(OR($D36="",$E36=""),"",IF(AND($D36&lt;=S$7+6,$E36&gt;=S$7),IF('Plan de Tareas'!$J35="Completada",2,1),""))</f>
        <v/>
      </c>
      <c r="T36" s="36" t="str">
        <f>IF(OR($D36="",$E36=""),"",IF(AND($D36&lt;=T$7+6,$E36&gt;=T$7),IF('Plan de Tareas'!$J35="Completada",2,1),""))</f>
        <v/>
      </c>
      <c r="U36" s="36" t="str">
        <f>IF(OR($D36="",$E36=""),"",IF(AND($D36&lt;=U$7+6,$E36&gt;=U$7),IF('Plan de Tareas'!$J35="Completada",2,1),""))</f>
        <v/>
      </c>
      <c r="V36" s="36" t="str">
        <f>IF(OR($D36="",$E36=""),"",IF(AND($D36&lt;=V$7+6,$E36&gt;=V$7),IF('Plan de Tareas'!$J35="Completada",2,1),""))</f>
        <v/>
      </c>
      <c r="W36" s="36" t="str">
        <f>IF(OR($D36="",$E36=""),"",IF(AND($D36&lt;=W$7+6,$E36&gt;=W$7),IF('Plan de Tareas'!$J35="Completada",2,1),""))</f>
        <v/>
      </c>
      <c r="X36" s="36" t="str">
        <f>IF(OR($D36="",$E36=""),"",IF(AND($D36&lt;=X$7+6,$E36&gt;=X$7),IF('Plan de Tareas'!$J35="Completada",2,1),""))</f>
        <v/>
      </c>
      <c r="Y36" s="36" t="str">
        <f>IF(OR($D36="",$E36=""),"",IF(AND($D36&lt;=Y$7+6,$E36&gt;=Y$7),IF('Plan de Tareas'!$J35="Completada",2,1),""))</f>
        <v/>
      </c>
      <c r="Z36" s="36" t="str">
        <f>IF(OR($D36="",$E36=""),"",IF(AND($D36&lt;=Z$7+6,$E36&gt;=Z$7),IF('Plan de Tareas'!$J35="Completada",2,1),""))</f>
        <v/>
      </c>
      <c r="AA36" s="36" t="str">
        <f>IF(OR($D36="",$E36=""),"",IF(AND($D36&lt;=AA$7+6,$E36&gt;=AA$7),IF('Plan de Tareas'!$J35="Completada",2,1),""))</f>
        <v/>
      </c>
      <c r="AB36" s="36" t="str">
        <f>IF(OR($D36="",$E36=""),"",IF(AND($D36&lt;=AB$7+6,$E36&gt;=AB$7),IF('Plan de Tareas'!$J35="Completada",2,1),""))</f>
        <v/>
      </c>
      <c r="AC36" s="36" t="str">
        <f>IF(OR($D36="",$E36=""),"",IF(AND($D36&lt;=AC$7+6,$E36&gt;=AC$7),IF('Plan de Tareas'!$J35="Completada",2,1),""))</f>
        <v/>
      </c>
      <c r="AD36" s="36" t="str">
        <f>IF(OR($D36="",$E36=""),"",IF(AND($D36&lt;=AD$7+6,$E36&gt;=AD$7),IF('Plan de Tareas'!$J35="Completada",2,1),""))</f>
        <v/>
      </c>
      <c r="AE36" s="36" t="str">
        <f>IF(OR($D36="",$E36=""),"",IF(AND($D36&lt;=AE$7+6,$E36&gt;=AE$7),IF('Plan de Tareas'!$J35="Completada",2,1),""))</f>
        <v/>
      </c>
    </row>
    <row r="37" spans="1:31" ht="15" customHeight="1" x14ac:dyDescent="0.3">
      <c r="A37" s="37" t="str">
        <f>IF('Plan de Tareas'!$C36="","",'Plan de Tareas'!$A36)</f>
        <v/>
      </c>
      <c r="B37" s="26" t="str">
        <f>IF('Plan de Tareas'!$C36="","",'Plan de Tareas'!$C36)</f>
        <v/>
      </c>
      <c r="C37" s="26" t="str">
        <f>IF('Plan de Tareas'!$C36="","",'Plan de Tareas'!$D36)</f>
        <v/>
      </c>
      <c r="D37" s="38" t="str">
        <f>IF('Plan de Tareas'!$F36="","",'Plan de Tareas'!$F36)</f>
        <v/>
      </c>
      <c r="E37" s="38" t="str">
        <f>IF('Plan de Tareas'!$G36="","",'Plan de Tareas'!$G36)</f>
        <v/>
      </c>
      <c r="F37" s="36" t="str">
        <f>IF(OR($D37="",$E37=""),"",IF(AND($D37&lt;=F$7+6,$E37&gt;=F$7),IF('Plan de Tareas'!$J36="Completada",2,1),""))</f>
        <v/>
      </c>
      <c r="G37" s="36" t="str">
        <f>IF(OR($D37="",$E37=""),"",IF(AND($D37&lt;=G$7+6,$E37&gt;=G$7),IF('Plan de Tareas'!$J36="Completada",2,1),""))</f>
        <v/>
      </c>
      <c r="H37" s="36" t="str">
        <f>IF(OR($D37="",$E37=""),"",IF(AND($D37&lt;=H$7+6,$E37&gt;=H$7),IF('Plan de Tareas'!$J36="Completada",2,1),""))</f>
        <v/>
      </c>
      <c r="I37" s="36" t="str">
        <f>IF(OR($D37="",$E37=""),"",IF(AND($D37&lt;=I$7+6,$E37&gt;=I$7),IF('Plan de Tareas'!$J36="Completada",2,1),""))</f>
        <v/>
      </c>
      <c r="J37" s="36" t="str">
        <f>IF(OR($D37="",$E37=""),"",IF(AND($D37&lt;=J$7+6,$E37&gt;=J$7),IF('Plan de Tareas'!$J36="Completada",2,1),""))</f>
        <v/>
      </c>
      <c r="K37" s="36" t="str">
        <f>IF(OR($D37="",$E37=""),"",IF(AND($D37&lt;=K$7+6,$E37&gt;=K$7),IF('Plan de Tareas'!$J36="Completada",2,1),""))</f>
        <v/>
      </c>
      <c r="L37" s="36" t="str">
        <f>IF(OR($D37="",$E37=""),"",IF(AND($D37&lt;=L$7+6,$E37&gt;=L$7),IF('Plan de Tareas'!$J36="Completada",2,1),""))</f>
        <v/>
      </c>
      <c r="M37" s="36" t="str">
        <f>IF(OR($D37="",$E37=""),"",IF(AND($D37&lt;=M$7+6,$E37&gt;=M$7),IF('Plan de Tareas'!$J36="Completada",2,1),""))</f>
        <v/>
      </c>
      <c r="N37" s="36" t="str">
        <f>IF(OR($D37="",$E37=""),"",IF(AND($D37&lt;=N$7+6,$E37&gt;=N$7),IF('Plan de Tareas'!$J36="Completada",2,1),""))</f>
        <v/>
      </c>
      <c r="O37" s="36" t="str">
        <f>IF(OR($D37="",$E37=""),"",IF(AND($D37&lt;=O$7+6,$E37&gt;=O$7),IF('Plan de Tareas'!$J36="Completada",2,1),""))</f>
        <v/>
      </c>
      <c r="P37" s="36" t="str">
        <f>IF(OR($D37="",$E37=""),"",IF(AND($D37&lt;=P$7+6,$E37&gt;=P$7),IF('Plan de Tareas'!$J36="Completada",2,1),""))</f>
        <v/>
      </c>
      <c r="Q37" s="36" t="str">
        <f>IF(OR($D37="",$E37=""),"",IF(AND($D37&lt;=Q$7+6,$E37&gt;=Q$7),IF('Plan de Tareas'!$J36="Completada",2,1),""))</f>
        <v/>
      </c>
      <c r="R37" s="36" t="str">
        <f>IF(OR($D37="",$E37=""),"",IF(AND($D37&lt;=R$7+6,$E37&gt;=R$7),IF('Plan de Tareas'!$J36="Completada",2,1),""))</f>
        <v/>
      </c>
      <c r="S37" s="36" t="str">
        <f>IF(OR($D37="",$E37=""),"",IF(AND($D37&lt;=S$7+6,$E37&gt;=S$7),IF('Plan de Tareas'!$J36="Completada",2,1),""))</f>
        <v/>
      </c>
      <c r="T37" s="36" t="str">
        <f>IF(OR($D37="",$E37=""),"",IF(AND($D37&lt;=T$7+6,$E37&gt;=T$7),IF('Plan de Tareas'!$J36="Completada",2,1),""))</f>
        <v/>
      </c>
      <c r="U37" s="36" t="str">
        <f>IF(OR($D37="",$E37=""),"",IF(AND($D37&lt;=U$7+6,$E37&gt;=U$7),IF('Plan de Tareas'!$J36="Completada",2,1),""))</f>
        <v/>
      </c>
      <c r="V37" s="36" t="str">
        <f>IF(OR($D37="",$E37=""),"",IF(AND($D37&lt;=V$7+6,$E37&gt;=V$7),IF('Plan de Tareas'!$J36="Completada",2,1),""))</f>
        <v/>
      </c>
      <c r="W37" s="36" t="str">
        <f>IF(OR($D37="",$E37=""),"",IF(AND($D37&lt;=W$7+6,$E37&gt;=W$7),IF('Plan de Tareas'!$J36="Completada",2,1),""))</f>
        <v/>
      </c>
      <c r="X37" s="36" t="str">
        <f>IF(OR($D37="",$E37=""),"",IF(AND($D37&lt;=X$7+6,$E37&gt;=X$7),IF('Plan de Tareas'!$J36="Completada",2,1),""))</f>
        <v/>
      </c>
      <c r="Y37" s="36" t="str">
        <f>IF(OR($D37="",$E37=""),"",IF(AND($D37&lt;=Y$7+6,$E37&gt;=Y$7),IF('Plan de Tareas'!$J36="Completada",2,1),""))</f>
        <v/>
      </c>
      <c r="Z37" s="36" t="str">
        <f>IF(OR($D37="",$E37=""),"",IF(AND($D37&lt;=Z$7+6,$E37&gt;=Z$7),IF('Plan de Tareas'!$J36="Completada",2,1),""))</f>
        <v/>
      </c>
      <c r="AA37" s="36" t="str">
        <f>IF(OR($D37="",$E37=""),"",IF(AND($D37&lt;=AA$7+6,$E37&gt;=AA$7),IF('Plan de Tareas'!$J36="Completada",2,1),""))</f>
        <v/>
      </c>
      <c r="AB37" s="36" t="str">
        <f>IF(OR($D37="",$E37=""),"",IF(AND($D37&lt;=AB$7+6,$E37&gt;=AB$7),IF('Plan de Tareas'!$J36="Completada",2,1),""))</f>
        <v/>
      </c>
      <c r="AC37" s="36" t="str">
        <f>IF(OR($D37="",$E37=""),"",IF(AND($D37&lt;=AC$7+6,$E37&gt;=AC$7),IF('Plan de Tareas'!$J36="Completada",2,1),""))</f>
        <v/>
      </c>
      <c r="AD37" s="36" t="str">
        <f>IF(OR($D37="",$E37=""),"",IF(AND($D37&lt;=AD$7+6,$E37&gt;=AD$7),IF('Plan de Tareas'!$J36="Completada",2,1),""))</f>
        <v/>
      </c>
      <c r="AE37" s="36" t="str">
        <f>IF(OR($D37="",$E37=""),"",IF(AND($D37&lt;=AE$7+6,$E37&gt;=AE$7),IF('Plan de Tareas'!$J36="Completada",2,1),""))</f>
        <v/>
      </c>
    </row>
    <row r="38" spans="1:31" ht="15" customHeight="1" x14ac:dyDescent="0.3">
      <c r="A38" s="34" t="str">
        <f>IF('Plan de Tareas'!$C37="","",'Plan de Tareas'!$A37)</f>
        <v/>
      </c>
      <c r="B38" s="20" t="str">
        <f>IF('Plan de Tareas'!$C37="","",'Plan de Tareas'!$C37)</f>
        <v/>
      </c>
      <c r="C38" s="20" t="str">
        <f>IF('Plan de Tareas'!$C37="","",'Plan de Tareas'!$D37)</f>
        <v/>
      </c>
      <c r="D38" s="35" t="str">
        <f>IF('Plan de Tareas'!$F37="","",'Plan de Tareas'!$F37)</f>
        <v/>
      </c>
      <c r="E38" s="35" t="str">
        <f>IF('Plan de Tareas'!$G37="","",'Plan de Tareas'!$G37)</f>
        <v/>
      </c>
      <c r="F38" s="36" t="str">
        <f>IF(OR($D38="",$E38=""),"",IF(AND($D38&lt;=F$7+6,$E38&gt;=F$7),IF('Plan de Tareas'!$J37="Completada",2,1),""))</f>
        <v/>
      </c>
      <c r="G38" s="36" t="str">
        <f>IF(OR($D38="",$E38=""),"",IF(AND($D38&lt;=G$7+6,$E38&gt;=G$7),IF('Plan de Tareas'!$J37="Completada",2,1),""))</f>
        <v/>
      </c>
      <c r="H38" s="36" t="str">
        <f>IF(OR($D38="",$E38=""),"",IF(AND($D38&lt;=H$7+6,$E38&gt;=H$7),IF('Plan de Tareas'!$J37="Completada",2,1),""))</f>
        <v/>
      </c>
      <c r="I38" s="36" t="str">
        <f>IF(OR($D38="",$E38=""),"",IF(AND($D38&lt;=I$7+6,$E38&gt;=I$7),IF('Plan de Tareas'!$J37="Completada",2,1),""))</f>
        <v/>
      </c>
      <c r="J38" s="36" t="str">
        <f>IF(OR($D38="",$E38=""),"",IF(AND($D38&lt;=J$7+6,$E38&gt;=J$7),IF('Plan de Tareas'!$J37="Completada",2,1),""))</f>
        <v/>
      </c>
      <c r="K38" s="36" t="str">
        <f>IF(OR($D38="",$E38=""),"",IF(AND($D38&lt;=K$7+6,$E38&gt;=K$7),IF('Plan de Tareas'!$J37="Completada",2,1),""))</f>
        <v/>
      </c>
      <c r="L38" s="36" t="str">
        <f>IF(OR($D38="",$E38=""),"",IF(AND($D38&lt;=L$7+6,$E38&gt;=L$7),IF('Plan de Tareas'!$J37="Completada",2,1),""))</f>
        <v/>
      </c>
      <c r="M38" s="36" t="str">
        <f>IF(OR($D38="",$E38=""),"",IF(AND($D38&lt;=M$7+6,$E38&gt;=M$7),IF('Plan de Tareas'!$J37="Completada",2,1),""))</f>
        <v/>
      </c>
      <c r="N38" s="36" t="str">
        <f>IF(OR($D38="",$E38=""),"",IF(AND($D38&lt;=N$7+6,$E38&gt;=N$7),IF('Plan de Tareas'!$J37="Completada",2,1),""))</f>
        <v/>
      </c>
      <c r="O38" s="36" t="str">
        <f>IF(OR($D38="",$E38=""),"",IF(AND($D38&lt;=O$7+6,$E38&gt;=O$7),IF('Plan de Tareas'!$J37="Completada",2,1),""))</f>
        <v/>
      </c>
      <c r="P38" s="36" t="str">
        <f>IF(OR($D38="",$E38=""),"",IF(AND($D38&lt;=P$7+6,$E38&gt;=P$7),IF('Plan de Tareas'!$J37="Completada",2,1),""))</f>
        <v/>
      </c>
      <c r="Q38" s="36" t="str">
        <f>IF(OR($D38="",$E38=""),"",IF(AND($D38&lt;=Q$7+6,$E38&gt;=Q$7),IF('Plan de Tareas'!$J37="Completada",2,1),""))</f>
        <v/>
      </c>
      <c r="R38" s="36" t="str">
        <f>IF(OR($D38="",$E38=""),"",IF(AND($D38&lt;=R$7+6,$E38&gt;=R$7),IF('Plan de Tareas'!$J37="Completada",2,1),""))</f>
        <v/>
      </c>
      <c r="S38" s="36" t="str">
        <f>IF(OR($D38="",$E38=""),"",IF(AND($D38&lt;=S$7+6,$E38&gt;=S$7),IF('Plan de Tareas'!$J37="Completada",2,1),""))</f>
        <v/>
      </c>
      <c r="T38" s="36" t="str">
        <f>IF(OR($D38="",$E38=""),"",IF(AND($D38&lt;=T$7+6,$E38&gt;=T$7),IF('Plan de Tareas'!$J37="Completada",2,1),""))</f>
        <v/>
      </c>
      <c r="U38" s="36" t="str">
        <f>IF(OR($D38="",$E38=""),"",IF(AND($D38&lt;=U$7+6,$E38&gt;=U$7),IF('Plan de Tareas'!$J37="Completada",2,1),""))</f>
        <v/>
      </c>
      <c r="V38" s="36" t="str">
        <f>IF(OR($D38="",$E38=""),"",IF(AND($D38&lt;=V$7+6,$E38&gt;=V$7),IF('Plan de Tareas'!$J37="Completada",2,1),""))</f>
        <v/>
      </c>
      <c r="W38" s="36" t="str">
        <f>IF(OR($D38="",$E38=""),"",IF(AND($D38&lt;=W$7+6,$E38&gt;=W$7),IF('Plan de Tareas'!$J37="Completada",2,1),""))</f>
        <v/>
      </c>
      <c r="X38" s="36" t="str">
        <f>IF(OR($D38="",$E38=""),"",IF(AND($D38&lt;=X$7+6,$E38&gt;=X$7),IF('Plan de Tareas'!$J37="Completada",2,1),""))</f>
        <v/>
      </c>
      <c r="Y38" s="36" t="str">
        <f>IF(OR($D38="",$E38=""),"",IF(AND($D38&lt;=Y$7+6,$E38&gt;=Y$7),IF('Plan de Tareas'!$J37="Completada",2,1),""))</f>
        <v/>
      </c>
      <c r="Z38" s="36" t="str">
        <f>IF(OR($D38="",$E38=""),"",IF(AND($D38&lt;=Z$7+6,$E38&gt;=Z$7),IF('Plan de Tareas'!$J37="Completada",2,1),""))</f>
        <v/>
      </c>
      <c r="AA38" s="36" t="str">
        <f>IF(OR($D38="",$E38=""),"",IF(AND($D38&lt;=AA$7+6,$E38&gt;=AA$7),IF('Plan de Tareas'!$J37="Completada",2,1),""))</f>
        <v/>
      </c>
      <c r="AB38" s="36" t="str">
        <f>IF(OR($D38="",$E38=""),"",IF(AND($D38&lt;=AB$7+6,$E38&gt;=AB$7),IF('Plan de Tareas'!$J37="Completada",2,1),""))</f>
        <v/>
      </c>
      <c r="AC38" s="36" t="str">
        <f>IF(OR($D38="",$E38=""),"",IF(AND($D38&lt;=AC$7+6,$E38&gt;=AC$7),IF('Plan de Tareas'!$J37="Completada",2,1),""))</f>
        <v/>
      </c>
      <c r="AD38" s="36" t="str">
        <f>IF(OR($D38="",$E38=""),"",IF(AND($D38&lt;=AD$7+6,$E38&gt;=AD$7),IF('Plan de Tareas'!$J37="Completada",2,1),""))</f>
        <v/>
      </c>
      <c r="AE38" s="36" t="str">
        <f>IF(OR($D38="",$E38=""),"",IF(AND($D38&lt;=AE$7+6,$E38&gt;=AE$7),IF('Plan de Tareas'!$J37="Completada",2,1),""))</f>
        <v/>
      </c>
    </row>
    <row r="39" spans="1:31" ht="15" customHeight="1" x14ac:dyDescent="0.3">
      <c r="A39" s="37" t="str">
        <f>IF('Plan de Tareas'!$C38="","",'Plan de Tareas'!$A38)</f>
        <v/>
      </c>
      <c r="B39" s="26" t="str">
        <f>IF('Plan de Tareas'!$C38="","",'Plan de Tareas'!$C38)</f>
        <v/>
      </c>
      <c r="C39" s="26" t="str">
        <f>IF('Plan de Tareas'!$C38="","",'Plan de Tareas'!$D38)</f>
        <v/>
      </c>
      <c r="D39" s="38" t="str">
        <f>IF('Plan de Tareas'!$F38="","",'Plan de Tareas'!$F38)</f>
        <v/>
      </c>
      <c r="E39" s="38" t="str">
        <f>IF('Plan de Tareas'!$G38="","",'Plan de Tareas'!$G38)</f>
        <v/>
      </c>
      <c r="F39" s="36" t="str">
        <f>IF(OR($D39="",$E39=""),"",IF(AND($D39&lt;=F$7+6,$E39&gt;=F$7),IF('Plan de Tareas'!$J38="Completada",2,1),""))</f>
        <v/>
      </c>
      <c r="G39" s="36" t="str">
        <f>IF(OR($D39="",$E39=""),"",IF(AND($D39&lt;=G$7+6,$E39&gt;=G$7),IF('Plan de Tareas'!$J38="Completada",2,1),""))</f>
        <v/>
      </c>
      <c r="H39" s="36" t="str">
        <f>IF(OR($D39="",$E39=""),"",IF(AND($D39&lt;=H$7+6,$E39&gt;=H$7),IF('Plan de Tareas'!$J38="Completada",2,1),""))</f>
        <v/>
      </c>
      <c r="I39" s="36" t="str">
        <f>IF(OR($D39="",$E39=""),"",IF(AND($D39&lt;=I$7+6,$E39&gt;=I$7),IF('Plan de Tareas'!$J38="Completada",2,1),""))</f>
        <v/>
      </c>
      <c r="J39" s="36" t="str">
        <f>IF(OR($D39="",$E39=""),"",IF(AND($D39&lt;=J$7+6,$E39&gt;=J$7),IF('Plan de Tareas'!$J38="Completada",2,1),""))</f>
        <v/>
      </c>
      <c r="K39" s="36" t="str">
        <f>IF(OR($D39="",$E39=""),"",IF(AND($D39&lt;=K$7+6,$E39&gt;=K$7),IF('Plan de Tareas'!$J38="Completada",2,1),""))</f>
        <v/>
      </c>
      <c r="L39" s="36" t="str">
        <f>IF(OR($D39="",$E39=""),"",IF(AND($D39&lt;=L$7+6,$E39&gt;=L$7),IF('Plan de Tareas'!$J38="Completada",2,1),""))</f>
        <v/>
      </c>
      <c r="M39" s="36" t="str">
        <f>IF(OR($D39="",$E39=""),"",IF(AND($D39&lt;=M$7+6,$E39&gt;=M$7),IF('Plan de Tareas'!$J38="Completada",2,1),""))</f>
        <v/>
      </c>
      <c r="N39" s="36" t="str">
        <f>IF(OR($D39="",$E39=""),"",IF(AND($D39&lt;=N$7+6,$E39&gt;=N$7),IF('Plan de Tareas'!$J38="Completada",2,1),""))</f>
        <v/>
      </c>
      <c r="O39" s="36" t="str">
        <f>IF(OR($D39="",$E39=""),"",IF(AND($D39&lt;=O$7+6,$E39&gt;=O$7),IF('Plan de Tareas'!$J38="Completada",2,1),""))</f>
        <v/>
      </c>
      <c r="P39" s="36" t="str">
        <f>IF(OR($D39="",$E39=""),"",IF(AND($D39&lt;=P$7+6,$E39&gt;=P$7),IF('Plan de Tareas'!$J38="Completada",2,1),""))</f>
        <v/>
      </c>
      <c r="Q39" s="36" t="str">
        <f>IF(OR($D39="",$E39=""),"",IF(AND($D39&lt;=Q$7+6,$E39&gt;=Q$7),IF('Plan de Tareas'!$J38="Completada",2,1),""))</f>
        <v/>
      </c>
      <c r="R39" s="36" t="str">
        <f>IF(OR($D39="",$E39=""),"",IF(AND($D39&lt;=R$7+6,$E39&gt;=R$7),IF('Plan de Tareas'!$J38="Completada",2,1),""))</f>
        <v/>
      </c>
      <c r="S39" s="36" t="str">
        <f>IF(OR($D39="",$E39=""),"",IF(AND($D39&lt;=S$7+6,$E39&gt;=S$7),IF('Plan de Tareas'!$J38="Completada",2,1),""))</f>
        <v/>
      </c>
      <c r="T39" s="36" t="str">
        <f>IF(OR($D39="",$E39=""),"",IF(AND($D39&lt;=T$7+6,$E39&gt;=T$7),IF('Plan de Tareas'!$J38="Completada",2,1),""))</f>
        <v/>
      </c>
      <c r="U39" s="36" t="str">
        <f>IF(OR($D39="",$E39=""),"",IF(AND($D39&lt;=U$7+6,$E39&gt;=U$7),IF('Plan de Tareas'!$J38="Completada",2,1),""))</f>
        <v/>
      </c>
      <c r="V39" s="36" t="str">
        <f>IF(OR($D39="",$E39=""),"",IF(AND($D39&lt;=V$7+6,$E39&gt;=V$7),IF('Plan de Tareas'!$J38="Completada",2,1),""))</f>
        <v/>
      </c>
      <c r="W39" s="36" t="str">
        <f>IF(OR($D39="",$E39=""),"",IF(AND($D39&lt;=W$7+6,$E39&gt;=W$7),IF('Plan de Tareas'!$J38="Completada",2,1),""))</f>
        <v/>
      </c>
      <c r="X39" s="36" t="str">
        <f>IF(OR($D39="",$E39=""),"",IF(AND($D39&lt;=X$7+6,$E39&gt;=X$7),IF('Plan de Tareas'!$J38="Completada",2,1),""))</f>
        <v/>
      </c>
      <c r="Y39" s="36" t="str">
        <f>IF(OR($D39="",$E39=""),"",IF(AND($D39&lt;=Y$7+6,$E39&gt;=Y$7),IF('Plan de Tareas'!$J38="Completada",2,1),""))</f>
        <v/>
      </c>
      <c r="Z39" s="36" t="str">
        <f>IF(OR($D39="",$E39=""),"",IF(AND($D39&lt;=Z$7+6,$E39&gt;=Z$7),IF('Plan de Tareas'!$J38="Completada",2,1),""))</f>
        <v/>
      </c>
      <c r="AA39" s="36" t="str">
        <f>IF(OR($D39="",$E39=""),"",IF(AND($D39&lt;=AA$7+6,$E39&gt;=AA$7),IF('Plan de Tareas'!$J38="Completada",2,1),""))</f>
        <v/>
      </c>
      <c r="AB39" s="36" t="str">
        <f>IF(OR($D39="",$E39=""),"",IF(AND($D39&lt;=AB$7+6,$E39&gt;=AB$7),IF('Plan de Tareas'!$J38="Completada",2,1),""))</f>
        <v/>
      </c>
      <c r="AC39" s="36" t="str">
        <f>IF(OR($D39="",$E39=""),"",IF(AND($D39&lt;=AC$7+6,$E39&gt;=AC$7),IF('Plan de Tareas'!$J38="Completada",2,1),""))</f>
        <v/>
      </c>
      <c r="AD39" s="36" t="str">
        <f>IF(OR($D39="",$E39=""),"",IF(AND($D39&lt;=AD$7+6,$E39&gt;=AD$7),IF('Plan de Tareas'!$J38="Completada",2,1),""))</f>
        <v/>
      </c>
      <c r="AE39" s="36" t="str">
        <f>IF(OR($D39="",$E39=""),"",IF(AND($D39&lt;=AE$7+6,$E39&gt;=AE$7),IF('Plan de Tareas'!$J38="Completada",2,1),""))</f>
        <v/>
      </c>
    </row>
    <row r="40" spans="1:31" ht="15" customHeight="1" x14ac:dyDescent="0.3">
      <c r="A40" s="34" t="str">
        <f>IF('Plan de Tareas'!$C39="","",'Plan de Tareas'!$A39)</f>
        <v/>
      </c>
      <c r="B40" s="20" t="str">
        <f>IF('Plan de Tareas'!$C39="","",'Plan de Tareas'!$C39)</f>
        <v/>
      </c>
      <c r="C40" s="20" t="str">
        <f>IF('Plan de Tareas'!$C39="","",'Plan de Tareas'!$D39)</f>
        <v/>
      </c>
      <c r="D40" s="35" t="str">
        <f>IF('Plan de Tareas'!$F39="","",'Plan de Tareas'!$F39)</f>
        <v/>
      </c>
      <c r="E40" s="35" t="str">
        <f>IF('Plan de Tareas'!$G39="","",'Plan de Tareas'!$G39)</f>
        <v/>
      </c>
      <c r="F40" s="36" t="str">
        <f>IF(OR($D40="",$E40=""),"",IF(AND($D40&lt;=F$7+6,$E40&gt;=F$7),IF('Plan de Tareas'!$J39="Completada",2,1),""))</f>
        <v/>
      </c>
      <c r="G40" s="36" t="str">
        <f>IF(OR($D40="",$E40=""),"",IF(AND($D40&lt;=G$7+6,$E40&gt;=G$7),IF('Plan de Tareas'!$J39="Completada",2,1),""))</f>
        <v/>
      </c>
      <c r="H40" s="36" t="str">
        <f>IF(OR($D40="",$E40=""),"",IF(AND($D40&lt;=H$7+6,$E40&gt;=H$7),IF('Plan de Tareas'!$J39="Completada",2,1),""))</f>
        <v/>
      </c>
      <c r="I40" s="36" t="str">
        <f>IF(OR($D40="",$E40=""),"",IF(AND($D40&lt;=I$7+6,$E40&gt;=I$7),IF('Plan de Tareas'!$J39="Completada",2,1),""))</f>
        <v/>
      </c>
      <c r="J40" s="36" t="str">
        <f>IF(OR($D40="",$E40=""),"",IF(AND($D40&lt;=J$7+6,$E40&gt;=J$7),IF('Plan de Tareas'!$J39="Completada",2,1),""))</f>
        <v/>
      </c>
      <c r="K40" s="36" t="str">
        <f>IF(OR($D40="",$E40=""),"",IF(AND($D40&lt;=K$7+6,$E40&gt;=K$7),IF('Plan de Tareas'!$J39="Completada",2,1),""))</f>
        <v/>
      </c>
      <c r="L40" s="36" t="str">
        <f>IF(OR($D40="",$E40=""),"",IF(AND($D40&lt;=L$7+6,$E40&gt;=L$7),IF('Plan de Tareas'!$J39="Completada",2,1),""))</f>
        <v/>
      </c>
      <c r="M40" s="36" t="str">
        <f>IF(OR($D40="",$E40=""),"",IF(AND($D40&lt;=M$7+6,$E40&gt;=M$7),IF('Plan de Tareas'!$J39="Completada",2,1),""))</f>
        <v/>
      </c>
      <c r="N40" s="36" t="str">
        <f>IF(OR($D40="",$E40=""),"",IF(AND($D40&lt;=N$7+6,$E40&gt;=N$7),IF('Plan de Tareas'!$J39="Completada",2,1),""))</f>
        <v/>
      </c>
      <c r="O40" s="36" t="str">
        <f>IF(OR($D40="",$E40=""),"",IF(AND($D40&lt;=O$7+6,$E40&gt;=O$7),IF('Plan de Tareas'!$J39="Completada",2,1),""))</f>
        <v/>
      </c>
      <c r="P40" s="36" t="str">
        <f>IF(OR($D40="",$E40=""),"",IF(AND($D40&lt;=P$7+6,$E40&gt;=P$7),IF('Plan de Tareas'!$J39="Completada",2,1),""))</f>
        <v/>
      </c>
      <c r="Q40" s="36" t="str">
        <f>IF(OR($D40="",$E40=""),"",IF(AND($D40&lt;=Q$7+6,$E40&gt;=Q$7),IF('Plan de Tareas'!$J39="Completada",2,1),""))</f>
        <v/>
      </c>
      <c r="R40" s="36" t="str">
        <f>IF(OR($D40="",$E40=""),"",IF(AND($D40&lt;=R$7+6,$E40&gt;=R$7),IF('Plan de Tareas'!$J39="Completada",2,1),""))</f>
        <v/>
      </c>
      <c r="S40" s="36" t="str">
        <f>IF(OR($D40="",$E40=""),"",IF(AND($D40&lt;=S$7+6,$E40&gt;=S$7),IF('Plan de Tareas'!$J39="Completada",2,1),""))</f>
        <v/>
      </c>
      <c r="T40" s="36" t="str">
        <f>IF(OR($D40="",$E40=""),"",IF(AND($D40&lt;=T$7+6,$E40&gt;=T$7),IF('Plan de Tareas'!$J39="Completada",2,1),""))</f>
        <v/>
      </c>
      <c r="U40" s="36" t="str">
        <f>IF(OR($D40="",$E40=""),"",IF(AND($D40&lt;=U$7+6,$E40&gt;=U$7),IF('Plan de Tareas'!$J39="Completada",2,1),""))</f>
        <v/>
      </c>
      <c r="V40" s="36" t="str">
        <f>IF(OR($D40="",$E40=""),"",IF(AND($D40&lt;=V$7+6,$E40&gt;=V$7),IF('Plan de Tareas'!$J39="Completada",2,1),""))</f>
        <v/>
      </c>
      <c r="W40" s="36" t="str">
        <f>IF(OR($D40="",$E40=""),"",IF(AND($D40&lt;=W$7+6,$E40&gt;=W$7),IF('Plan de Tareas'!$J39="Completada",2,1),""))</f>
        <v/>
      </c>
      <c r="X40" s="36" t="str">
        <f>IF(OR($D40="",$E40=""),"",IF(AND($D40&lt;=X$7+6,$E40&gt;=X$7),IF('Plan de Tareas'!$J39="Completada",2,1),""))</f>
        <v/>
      </c>
      <c r="Y40" s="36" t="str">
        <f>IF(OR($D40="",$E40=""),"",IF(AND($D40&lt;=Y$7+6,$E40&gt;=Y$7),IF('Plan de Tareas'!$J39="Completada",2,1),""))</f>
        <v/>
      </c>
      <c r="Z40" s="36" t="str">
        <f>IF(OR($D40="",$E40=""),"",IF(AND($D40&lt;=Z$7+6,$E40&gt;=Z$7),IF('Plan de Tareas'!$J39="Completada",2,1),""))</f>
        <v/>
      </c>
      <c r="AA40" s="36" t="str">
        <f>IF(OR($D40="",$E40=""),"",IF(AND($D40&lt;=AA$7+6,$E40&gt;=AA$7),IF('Plan de Tareas'!$J39="Completada",2,1),""))</f>
        <v/>
      </c>
      <c r="AB40" s="36" t="str">
        <f>IF(OR($D40="",$E40=""),"",IF(AND($D40&lt;=AB$7+6,$E40&gt;=AB$7),IF('Plan de Tareas'!$J39="Completada",2,1),""))</f>
        <v/>
      </c>
      <c r="AC40" s="36" t="str">
        <f>IF(OR($D40="",$E40=""),"",IF(AND($D40&lt;=AC$7+6,$E40&gt;=AC$7),IF('Plan de Tareas'!$J39="Completada",2,1),""))</f>
        <v/>
      </c>
      <c r="AD40" s="36" t="str">
        <f>IF(OR($D40="",$E40=""),"",IF(AND($D40&lt;=AD$7+6,$E40&gt;=AD$7),IF('Plan de Tareas'!$J39="Completada",2,1),""))</f>
        <v/>
      </c>
      <c r="AE40" s="36" t="str">
        <f>IF(OR($D40="",$E40=""),"",IF(AND($D40&lt;=AE$7+6,$E40&gt;=AE$7),IF('Plan de Tareas'!$J39="Completada",2,1),""))</f>
        <v/>
      </c>
    </row>
    <row r="41" spans="1:31" ht="15" customHeight="1" x14ac:dyDescent="0.3">
      <c r="A41" s="37" t="str">
        <f>IF('Plan de Tareas'!$C40="","",'Plan de Tareas'!$A40)</f>
        <v/>
      </c>
      <c r="B41" s="26" t="str">
        <f>IF('Plan de Tareas'!$C40="","",'Plan de Tareas'!$C40)</f>
        <v/>
      </c>
      <c r="C41" s="26" t="str">
        <f>IF('Plan de Tareas'!$C40="","",'Plan de Tareas'!$D40)</f>
        <v/>
      </c>
      <c r="D41" s="38" t="str">
        <f>IF('Plan de Tareas'!$F40="","",'Plan de Tareas'!$F40)</f>
        <v/>
      </c>
      <c r="E41" s="38" t="str">
        <f>IF('Plan de Tareas'!$G40="","",'Plan de Tareas'!$G40)</f>
        <v/>
      </c>
      <c r="F41" s="36" t="str">
        <f>IF(OR($D41="",$E41=""),"",IF(AND($D41&lt;=F$7+6,$E41&gt;=F$7),IF('Plan de Tareas'!$J40="Completada",2,1),""))</f>
        <v/>
      </c>
      <c r="G41" s="36" t="str">
        <f>IF(OR($D41="",$E41=""),"",IF(AND($D41&lt;=G$7+6,$E41&gt;=G$7),IF('Plan de Tareas'!$J40="Completada",2,1),""))</f>
        <v/>
      </c>
      <c r="H41" s="36" t="str">
        <f>IF(OR($D41="",$E41=""),"",IF(AND($D41&lt;=H$7+6,$E41&gt;=H$7),IF('Plan de Tareas'!$J40="Completada",2,1),""))</f>
        <v/>
      </c>
      <c r="I41" s="36" t="str">
        <f>IF(OR($D41="",$E41=""),"",IF(AND($D41&lt;=I$7+6,$E41&gt;=I$7),IF('Plan de Tareas'!$J40="Completada",2,1),""))</f>
        <v/>
      </c>
      <c r="J41" s="36" t="str">
        <f>IF(OR($D41="",$E41=""),"",IF(AND($D41&lt;=J$7+6,$E41&gt;=J$7),IF('Plan de Tareas'!$J40="Completada",2,1),""))</f>
        <v/>
      </c>
      <c r="K41" s="36" t="str">
        <f>IF(OR($D41="",$E41=""),"",IF(AND($D41&lt;=K$7+6,$E41&gt;=K$7),IF('Plan de Tareas'!$J40="Completada",2,1),""))</f>
        <v/>
      </c>
      <c r="L41" s="36" t="str">
        <f>IF(OR($D41="",$E41=""),"",IF(AND($D41&lt;=L$7+6,$E41&gt;=L$7),IF('Plan de Tareas'!$J40="Completada",2,1),""))</f>
        <v/>
      </c>
      <c r="M41" s="36" t="str">
        <f>IF(OR($D41="",$E41=""),"",IF(AND($D41&lt;=M$7+6,$E41&gt;=M$7),IF('Plan de Tareas'!$J40="Completada",2,1),""))</f>
        <v/>
      </c>
      <c r="N41" s="36" t="str">
        <f>IF(OR($D41="",$E41=""),"",IF(AND($D41&lt;=N$7+6,$E41&gt;=N$7),IF('Plan de Tareas'!$J40="Completada",2,1),""))</f>
        <v/>
      </c>
      <c r="O41" s="36" t="str">
        <f>IF(OR($D41="",$E41=""),"",IF(AND($D41&lt;=O$7+6,$E41&gt;=O$7),IF('Plan de Tareas'!$J40="Completada",2,1),""))</f>
        <v/>
      </c>
      <c r="P41" s="36" t="str">
        <f>IF(OR($D41="",$E41=""),"",IF(AND($D41&lt;=P$7+6,$E41&gt;=P$7),IF('Plan de Tareas'!$J40="Completada",2,1),""))</f>
        <v/>
      </c>
      <c r="Q41" s="36" t="str">
        <f>IF(OR($D41="",$E41=""),"",IF(AND($D41&lt;=Q$7+6,$E41&gt;=Q$7),IF('Plan de Tareas'!$J40="Completada",2,1),""))</f>
        <v/>
      </c>
      <c r="R41" s="36" t="str">
        <f>IF(OR($D41="",$E41=""),"",IF(AND($D41&lt;=R$7+6,$E41&gt;=R$7),IF('Plan de Tareas'!$J40="Completada",2,1),""))</f>
        <v/>
      </c>
      <c r="S41" s="36" t="str">
        <f>IF(OR($D41="",$E41=""),"",IF(AND($D41&lt;=S$7+6,$E41&gt;=S$7),IF('Plan de Tareas'!$J40="Completada",2,1),""))</f>
        <v/>
      </c>
      <c r="T41" s="36" t="str">
        <f>IF(OR($D41="",$E41=""),"",IF(AND($D41&lt;=T$7+6,$E41&gt;=T$7),IF('Plan de Tareas'!$J40="Completada",2,1),""))</f>
        <v/>
      </c>
      <c r="U41" s="36" t="str">
        <f>IF(OR($D41="",$E41=""),"",IF(AND($D41&lt;=U$7+6,$E41&gt;=U$7),IF('Plan de Tareas'!$J40="Completada",2,1),""))</f>
        <v/>
      </c>
      <c r="V41" s="36" t="str">
        <f>IF(OR($D41="",$E41=""),"",IF(AND($D41&lt;=V$7+6,$E41&gt;=V$7),IF('Plan de Tareas'!$J40="Completada",2,1),""))</f>
        <v/>
      </c>
      <c r="W41" s="36" t="str">
        <f>IF(OR($D41="",$E41=""),"",IF(AND($D41&lt;=W$7+6,$E41&gt;=W$7),IF('Plan de Tareas'!$J40="Completada",2,1),""))</f>
        <v/>
      </c>
      <c r="X41" s="36" t="str">
        <f>IF(OR($D41="",$E41=""),"",IF(AND($D41&lt;=X$7+6,$E41&gt;=X$7),IF('Plan de Tareas'!$J40="Completada",2,1),""))</f>
        <v/>
      </c>
      <c r="Y41" s="36" t="str">
        <f>IF(OR($D41="",$E41=""),"",IF(AND($D41&lt;=Y$7+6,$E41&gt;=Y$7),IF('Plan de Tareas'!$J40="Completada",2,1),""))</f>
        <v/>
      </c>
      <c r="Z41" s="36" t="str">
        <f>IF(OR($D41="",$E41=""),"",IF(AND($D41&lt;=Z$7+6,$E41&gt;=Z$7),IF('Plan de Tareas'!$J40="Completada",2,1),""))</f>
        <v/>
      </c>
      <c r="AA41" s="36" t="str">
        <f>IF(OR($D41="",$E41=""),"",IF(AND($D41&lt;=AA$7+6,$E41&gt;=AA$7),IF('Plan de Tareas'!$J40="Completada",2,1),""))</f>
        <v/>
      </c>
      <c r="AB41" s="36" t="str">
        <f>IF(OR($D41="",$E41=""),"",IF(AND($D41&lt;=AB$7+6,$E41&gt;=AB$7),IF('Plan de Tareas'!$J40="Completada",2,1),""))</f>
        <v/>
      </c>
      <c r="AC41" s="36" t="str">
        <f>IF(OR($D41="",$E41=""),"",IF(AND($D41&lt;=AC$7+6,$E41&gt;=AC$7),IF('Plan de Tareas'!$J40="Completada",2,1),""))</f>
        <v/>
      </c>
      <c r="AD41" s="36" t="str">
        <f>IF(OR($D41="",$E41=""),"",IF(AND($D41&lt;=AD$7+6,$E41&gt;=AD$7),IF('Plan de Tareas'!$J40="Completada",2,1),""))</f>
        <v/>
      </c>
      <c r="AE41" s="36" t="str">
        <f>IF(OR($D41="",$E41=""),"",IF(AND($D41&lt;=AE$7+6,$E41&gt;=AE$7),IF('Plan de Tareas'!$J40="Completada",2,1),""))</f>
        <v/>
      </c>
    </row>
    <row r="42" spans="1:31" ht="15" customHeight="1" x14ac:dyDescent="0.3">
      <c r="A42" s="34" t="str">
        <f>IF('Plan de Tareas'!$C41="","",'Plan de Tareas'!$A41)</f>
        <v/>
      </c>
      <c r="B42" s="20" t="str">
        <f>IF('Plan de Tareas'!$C41="","",'Plan de Tareas'!$C41)</f>
        <v/>
      </c>
      <c r="C42" s="20" t="str">
        <f>IF('Plan de Tareas'!$C41="","",'Plan de Tareas'!$D41)</f>
        <v/>
      </c>
      <c r="D42" s="35" t="str">
        <f>IF('Plan de Tareas'!$F41="","",'Plan de Tareas'!$F41)</f>
        <v/>
      </c>
      <c r="E42" s="35" t="str">
        <f>IF('Plan de Tareas'!$G41="","",'Plan de Tareas'!$G41)</f>
        <v/>
      </c>
      <c r="F42" s="36" t="str">
        <f>IF(OR($D42="",$E42=""),"",IF(AND($D42&lt;=F$7+6,$E42&gt;=F$7),IF('Plan de Tareas'!$J41="Completada",2,1),""))</f>
        <v/>
      </c>
      <c r="G42" s="36" t="str">
        <f>IF(OR($D42="",$E42=""),"",IF(AND($D42&lt;=G$7+6,$E42&gt;=G$7),IF('Plan de Tareas'!$J41="Completada",2,1),""))</f>
        <v/>
      </c>
      <c r="H42" s="36" t="str">
        <f>IF(OR($D42="",$E42=""),"",IF(AND($D42&lt;=H$7+6,$E42&gt;=H$7),IF('Plan de Tareas'!$J41="Completada",2,1),""))</f>
        <v/>
      </c>
      <c r="I42" s="36" t="str">
        <f>IF(OR($D42="",$E42=""),"",IF(AND($D42&lt;=I$7+6,$E42&gt;=I$7),IF('Plan de Tareas'!$J41="Completada",2,1),""))</f>
        <v/>
      </c>
      <c r="J42" s="36" t="str">
        <f>IF(OR($D42="",$E42=""),"",IF(AND($D42&lt;=J$7+6,$E42&gt;=J$7),IF('Plan de Tareas'!$J41="Completada",2,1),""))</f>
        <v/>
      </c>
      <c r="K42" s="36" t="str">
        <f>IF(OR($D42="",$E42=""),"",IF(AND($D42&lt;=K$7+6,$E42&gt;=K$7),IF('Plan de Tareas'!$J41="Completada",2,1),""))</f>
        <v/>
      </c>
      <c r="L42" s="36" t="str">
        <f>IF(OR($D42="",$E42=""),"",IF(AND($D42&lt;=L$7+6,$E42&gt;=L$7),IF('Plan de Tareas'!$J41="Completada",2,1),""))</f>
        <v/>
      </c>
      <c r="M42" s="36" t="str">
        <f>IF(OR($D42="",$E42=""),"",IF(AND($D42&lt;=M$7+6,$E42&gt;=M$7),IF('Plan de Tareas'!$J41="Completada",2,1),""))</f>
        <v/>
      </c>
      <c r="N42" s="36" t="str">
        <f>IF(OR($D42="",$E42=""),"",IF(AND($D42&lt;=N$7+6,$E42&gt;=N$7),IF('Plan de Tareas'!$J41="Completada",2,1),""))</f>
        <v/>
      </c>
      <c r="O42" s="36" t="str">
        <f>IF(OR($D42="",$E42=""),"",IF(AND($D42&lt;=O$7+6,$E42&gt;=O$7),IF('Plan de Tareas'!$J41="Completada",2,1),""))</f>
        <v/>
      </c>
      <c r="P42" s="36" t="str">
        <f>IF(OR($D42="",$E42=""),"",IF(AND($D42&lt;=P$7+6,$E42&gt;=P$7),IF('Plan de Tareas'!$J41="Completada",2,1),""))</f>
        <v/>
      </c>
      <c r="Q42" s="36" t="str">
        <f>IF(OR($D42="",$E42=""),"",IF(AND($D42&lt;=Q$7+6,$E42&gt;=Q$7),IF('Plan de Tareas'!$J41="Completada",2,1),""))</f>
        <v/>
      </c>
      <c r="R42" s="36" t="str">
        <f>IF(OR($D42="",$E42=""),"",IF(AND($D42&lt;=R$7+6,$E42&gt;=R$7),IF('Plan de Tareas'!$J41="Completada",2,1),""))</f>
        <v/>
      </c>
      <c r="S42" s="36" t="str">
        <f>IF(OR($D42="",$E42=""),"",IF(AND($D42&lt;=S$7+6,$E42&gt;=S$7),IF('Plan de Tareas'!$J41="Completada",2,1),""))</f>
        <v/>
      </c>
      <c r="T42" s="36" t="str">
        <f>IF(OR($D42="",$E42=""),"",IF(AND($D42&lt;=T$7+6,$E42&gt;=T$7),IF('Plan de Tareas'!$J41="Completada",2,1),""))</f>
        <v/>
      </c>
      <c r="U42" s="36" t="str">
        <f>IF(OR($D42="",$E42=""),"",IF(AND($D42&lt;=U$7+6,$E42&gt;=U$7),IF('Plan de Tareas'!$J41="Completada",2,1),""))</f>
        <v/>
      </c>
      <c r="V42" s="36" t="str">
        <f>IF(OR($D42="",$E42=""),"",IF(AND($D42&lt;=V$7+6,$E42&gt;=V$7),IF('Plan de Tareas'!$J41="Completada",2,1),""))</f>
        <v/>
      </c>
      <c r="W42" s="36" t="str">
        <f>IF(OR($D42="",$E42=""),"",IF(AND($D42&lt;=W$7+6,$E42&gt;=W$7),IF('Plan de Tareas'!$J41="Completada",2,1),""))</f>
        <v/>
      </c>
      <c r="X42" s="36" t="str">
        <f>IF(OR($D42="",$E42=""),"",IF(AND($D42&lt;=X$7+6,$E42&gt;=X$7),IF('Plan de Tareas'!$J41="Completada",2,1),""))</f>
        <v/>
      </c>
      <c r="Y42" s="36" t="str">
        <f>IF(OR($D42="",$E42=""),"",IF(AND($D42&lt;=Y$7+6,$E42&gt;=Y$7),IF('Plan de Tareas'!$J41="Completada",2,1),""))</f>
        <v/>
      </c>
      <c r="Z42" s="36" t="str">
        <f>IF(OR($D42="",$E42=""),"",IF(AND($D42&lt;=Z$7+6,$E42&gt;=Z$7),IF('Plan de Tareas'!$J41="Completada",2,1),""))</f>
        <v/>
      </c>
      <c r="AA42" s="36" t="str">
        <f>IF(OR($D42="",$E42=""),"",IF(AND($D42&lt;=AA$7+6,$E42&gt;=AA$7),IF('Plan de Tareas'!$J41="Completada",2,1),""))</f>
        <v/>
      </c>
      <c r="AB42" s="36" t="str">
        <f>IF(OR($D42="",$E42=""),"",IF(AND($D42&lt;=AB$7+6,$E42&gt;=AB$7),IF('Plan de Tareas'!$J41="Completada",2,1),""))</f>
        <v/>
      </c>
      <c r="AC42" s="36" t="str">
        <f>IF(OR($D42="",$E42=""),"",IF(AND($D42&lt;=AC$7+6,$E42&gt;=AC$7),IF('Plan de Tareas'!$J41="Completada",2,1),""))</f>
        <v/>
      </c>
      <c r="AD42" s="36" t="str">
        <f>IF(OR($D42="",$E42=""),"",IF(AND($D42&lt;=AD$7+6,$E42&gt;=AD$7),IF('Plan de Tareas'!$J41="Completada",2,1),""))</f>
        <v/>
      </c>
      <c r="AE42" s="36" t="str">
        <f>IF(OR($D42="",$E42=""),"",IF(AND($D42&lt;=AE$7+6,$E42&gt;=AE$7),IF('Plan de Tareas'!$J41="Completada",2,1),""))</f>
        <v/>
      </c>
    </row>
    <row r="43" spans="1:31" ht="15" customHeight="1" x14ac:dyDescent="0.3">
      <c r="A43" s="37" t="str">
        <f>IF('Plan de Tareas'!$C42="","",'Plan de Tareas'!$A42)</f>
        <v/>
      </c>
      <c r="B43" s="26" t="str">
        <f>IF('Plan de Tareas'!$C42="","",'Plan de Tareas'!$C42)</f>
        <v/>
      </c>
      <c r="C43" s="26" t="str">
        <f>IF('Plan de Tareas'!$C42="","",'Plan de Tareas'!$D42)</f>
        <v/>
      </c>
      <c r="D43" s="38" t="str">
        <f>IF('Plan de Tareas'!$F42="","",'Plan de Tareas'!$F42)</f>
        <v/>
      </c>
      <c r="E43" s="38" t="str">
        <f>IF('Plan de Tareas'!$G42="","",'Plan de Tareas'!$G42)</f>
        <v/>
      </c>
      <c r="F43" s="36" t="str">
        <f>IF(OR($D43="",$E43=""),"",IF(AND($D43&lt;=F$7+6,$E43&gt;=F$7),IF('Plan de Tareas'!$J42="Completada",2,1),""))</f>
        <v/>
      </c>
      <c r="G43" s="36" t="str">
        <f>IF(OR($D43="",$E43=""),"",IF(AND($D43&lt;=G$7+6,$E43&gt;=G$7),IF('Plan de Tareas'!$J42="Completada",2,1),""))</f>
        <v/>
      </c>
      <c r="H43" s="36" t="str">
        <f>IF(OR($D43="",$E43=""),"",IF(AND($D43&lt;=H$7+6,$E43&gt;=H$7),IF('Plan de Tareas'!$J42="Completada",2,1),""))</f>
        <v/>
      </c>
      <c r="I43" s="36" t="str">
        <f>IF(OR($D43="",$E43=""),"",IF(AND($D43&lt;=I$7+6,$E43&gt;=I$7),IF('Plan de Tareas'!$J42="Completada",2,1),""))</f>
        <v/>
      </c>
      <c r="J43" s="36" t="str">
        <f>IF(OR($D43="",$E43=""),"",IF(AND($D43&lt;=J$7+6,$E43&gt;=J$7),IF('Plan de Tareas'!$J42="Completada",2,1),""))</f>
        <v/>
      </c>
      <c r="K43" s="36" t="str">
        <f>IF(OR($D43="",$E43=""),"",IF(AND($D43&lt;=K$7+6,$E43&gt;=K$7),IF('Plan de Tareas'!$J42="Completada",2,1),""))</f>
        <v/>
      </c>
      <c r="L43" s="36" t="str">
        <f>IF(OR($D43="",$E43=""),"",IF(AND($D43&lt;=L$7+6,$E43&gt;=L$7),IF('Plan de Tareas'!$J42="Completada",2,1),""))</f>
        <v/>
      </c>
      <c r="M43" s="36" t="str">
        <f>IF(OR($D43="",$E43=""),"",IF(AND($D43&lt;=M$7+6,$E43&gt;=M$7),IF('Plan de Tareas'!$J42="Completada",2,1),""))</f>
        <v/>
      </c>
      <c r="N43" s="36" t="str">
        <f>IF(OR($D43="",$E43=""),"",IF(AND($D43&lt;=N$7+6,$E43&gt;=N$7),IF('Plan de Tareas'!$J42="Completada",2,1),""))</f>
        <v/>
      </c>
      <c r="O43" s="36" t="str">
        <f>IF(OR($D43="",$E43=""),"",IF(AND($D43&lt;=O$7+6,$E43&gt;=O$7),IF('Plan de Tareas'!$J42="Completada",2,1),""))</f>
        <v/>
      </c>
      <c r="P43" s="36" t="str">
        <f>IF(OR($D43="",$E43=""),"",IF(AND($D43&lt;=P$7+6,$E43&gt;=P$7),IF('Plan de Tareas'!$J42="Completada",2,1),""))</f>
        <v/>
      </c>
      <c r="Q43" s="36" t="str">
        <f>IF(OR($D43="",$E43=""),"",IF(AND($D43&lt;=Q$7+6,$E43&gt;=Q$7),IF('Plan de Tareas'!$J42="Completada",2,1),""))</f>
        <v/>
      </c>
      <c r="R43" s="36" t="str">
        <f>IF(OR($D43="",$E43=""),"",IF(AND($D43&lt;=R$7+6,$E43&gt;=R$7),IF('Plan de Tareas'!$J42="Completada",2,1),""))</f>
        <v/>
      </c>
      <c r="S43" s="36" t="str">
        <f>IF(OR($D43="",$E43=""),"",IF(AND($D43&lt;=S$7+6,$E43&gt;=S$7),IF('Plan de Tareas'!$J42="Completada",2,1),""))</f>
        <v/>
      </c>
      <c r="T43" s="36" t="str">
        <f>IF(OR($D43="",$E43=""),"",IF(AND($D43&lt;=T$7+6,$E43&gt;=T$7),IF('Plan de Tareas'!$J42="Completada",2,1),""))</f>
        <v/>
      </c>
      <c r="U43" s="36" t="str">
        <f>IF(OR($D43="",$E43=""),"",IF(AND($D43&lt;=U$7+6,$E43&gt;=U$7),IF('Plan de Tareas'!$J42="Completada",2,1),""))</f>
        <v/>
      </c>
      <c r="V43" s="36" t="str">
        <f>IF(OR($D43="",$E43=""),"",IF(AND($D43&lt;=V$7+6,$E43&gt;=V$7),IF('Plan de Tareas'!$J42="Completada",2,1),""))</f>
        <v/>
      </c>
      <c r="W43" s="36" t="str">
        <f>IF(OR($D43="",$E43=""),"",IF(AND($D43&lt;=W$7+6,$E43&gt;=W$7),IF('Plan de Tareas'!$J42="Completada",2,1),""))</f>
        <v/>
      </c>
      <c r="X43" s="36" t="str">
        <f>IF(OR($D43="",$E43=""),"",IF(AND($D43&lt;=X$7+6,$E43&gt;=X$7),IF('Plan de Tareas'!$J42="Completada",2,1),""))</f>
        <v/>
      </c>
      <c r="Y43" s="36" t="str">
        <f>IF(OR($D43="",$E43=""),"",IF(AND($D43&lt;=Y$7+6,$E43&gt;=Y$7),IF('Plan de Tareas'!$J42="Completada",2,1),""))</f>
        <v/>
      </c>
      <c r="Z43" s="36" t="str">
        <f>IF(OR($D43="",$E43=""),"",IF(AND($D43&lt;=Z$7+6,$E43&gt;=Z$7),IF('Plan de Tareas'!$J42="Completada",2,1),""))</f>
        <v/>
      </c>
      <c r="AA43" s="36" t="str">
        <f>IF(OR($D43="",$E43=""),"",IF(AND($D43&lt;=AA$7+6,$E43&gt;=AA$7),IF('Plan de Tareas'!$J42="Completada",2,1),""))</f>
        <v/>
      </c>
      <c r="AB43" s="36" t="str">
        <f>IF(OR($D43="",$E43=""),"",IF(AND($D43&lt;=AB$7+6,$E43&gt;=AB$7),IF('Plan de Tareas'!$J42="Completada",2,1),""))</f>
        <v/>
      </c>
      <c r="AC43" s="36" t="str">
        <f>IF(OR($D43="",$E43=""),"",IF(AND($D43&lt;=AC$7+6,$E43&gt;=AC$7),IF('Plan de Tareas'!$J42="Completada",2,1),""))</f>
        <v/>
      </c>
      <c r="AD43" s="36" t="str">
        <f>IF(OR($D43="",$E43=""),"",IF(AND($D43&lt;=AD$7+6,$E43&gt;=AD$7),IF('Plan de Tareas'!$J42="Completada",2,1),""))</f>
        <v/>
      </c>
      <c r="AE43" s="36" t="str">
        <f>IF(OR($D43="",$E43=""),"",IF(AND($D43&lt;=AE$7+6,$E43&gt;=AE$7),IF('Plan de Tareas'!$J42="Completada",2,1),""))</f>
        <v/>
      </c>
    </row>
    <row r="44" spans="1:31" ht="15" customHeight="1" x14ac:dyDescent="0.3">
      <c r="A44" s="34" t="str">
        <f>IF('Plan de Tareas'!$C43="","",'Plan de Tareas'!$A43)</f>
        <v/>
      </c>
      <c r="B44" s="20" t="str">
        <f>IF('Plan de Tareas'!$C43="","",'Plan de Tareas'!$C43)</f>
        <v/>
      </c>
      <c r="C44" s="20" t="str">
        <f>IF('Plan de Tareas'!$C43="","",'Plan de Tareas'!$D43)</f>
        <v/>
      </c>
      <c r="D44" s="35" t="str">
        <f>IF('Plan de Tareas'!$F43="","",'Plan de Tareas'!$F43)</f>
        <v/>
      </c>
      <c r="E44" s="35" t="str">
        <f>IF('Plan de Tareas'!$G43="","",'Plan de Tareas'!$G43)</f>
        <v/>
      </c>
      <c r="F44" s="36" t="str">
        <f>IF(OR($D44="",$E44=""),"",IF(AND($D44&lt;=F$7+6,$E44&gt;=F$7),IF('Plan de Tareas'!$J43="Completada",2,1),""))</f>
        <v/>
      </c>
      <c r="G44" s="36" t="str">
        <f>IF(OR($D44="",$E44=""),"",IF(AND($D44&lt;=G$7+6,$E44&gt;=G$7),IF('Plan de Tareas'!$J43="Completada",2,1),""))</f>
        <v/>
      </c>
      <c r="H44" s="36" t="str">
        <f>IF(OR($D44="",$E44=""),"",IF(AND($D44&lt;=H$7+6,$E44&gt;=H$7),IF('Plan de Tareas'!$J43="Completada",2,1),""))</f>
        <v/>
      </c>
      <c r="I44" s="36" t="str">
        <f>IF(OR($D44="",$E44=""),"",IF(AND($D44&lt;=I$7+6,$E44&gt;=I$7),IF('Plan de Tareas'!$J43="Completada",2,1),""))</f>
        <v/>
      </c>
      <c r="J44" s="36" t="str">
        <f>IF(OR($D44="",$E44=""),"",IF(AND($D44&lt;=J$7+6,$E44&gt;=J$7),IF('Plan de Tareas'!$J43="Completada",2,1),""))</f>
        <v/>
      </c>
      <c r="K44" s="36" t="str">
        <f>IF(OR($D44="",$E44=""),"",IF(AND($D44&lt;=K$7+6,$E44&gt;=K$7),IF('Plan de Tareas'!$J43="Completada",2,1),""))</f>
        <v/>
      </c>
      <c r="L44" s="36" t="str">
        <f>IF(OR($D44="",$E44=""),"",IF(AND($D44&lt;=L$7+6,$E44&gt;=L$7),IF('Plan de Tareas'!$J43="Completada",2,1),""))</f>
        <v/>
      </c>
      <c r="M44" s="36" t="str">
        <f>IF(OR($D44="",$E44=""),"",IF(AND($D44&lt;=M$7+6,$E44&gt;=M$7),IF('Plan de Tareas'!$J43="Completada",2,1),""))</f>
        <v/>
      </c>
      <c r="N44" s="36" t="str">
        <f>IF(OR($D44="",$E44=""),"",IF(AND($D44&lt;=N$7+6,$E44&gt;=N$7),IF('Plan de Tareas'!$J43="Completada",2,1),""))</f>
        <v/>
      </c>
      <c r="O44" s="36" t="str">
        <f>IF(OR($D44="",$E44=""),"",IF(AND($D44&lt;=O$7+6,$E44&gt;=O$7),IF('Plan de Tareas'!$J43="Completada",2,1),""))</f>
        <v/>
      </c>
      <c r="P44" s="36" t="str">
        <f>IF(OR($D44="",$E44=""),"",IF(AND($D44&lt;=P$7+6,$E44&gt;=P$7),IF('Plan de Tareas'!$J43="Completada",2,1),""))</f>
        <v/>
      </c>
      <c r="Q44" s="36" t="str">
        <f>IF(OR($D44="",$E44=""),"",IF(AND($D44&lt;=Q$7+6,$E44&gt;=Q$7),IF('Plan de Tareas'!$J43="Completada",2,1),""))</f>
        <v/>
      </c>
      <c r="R44" s="36" t="str">
        <f>IF(OR($D44="",$E44=""),"",IF(AND($D44&lt;=R$7+6,$E44&gt;=R$7),IF('Plan de Tareas'!$J43="Completada",2,1),""))</f>
        <v/>
      </c>
      <c r="S44" s="36" t="str">
        <f>IF(OR($D44="",$E44=""),"",IF(AND($D44&lt;=S$7+6,$E44&gt;=S$7),IF('Plan de Tareas'!$J43="Completada",2,1),""))</f>
        <v/>
      </c>
      <c r="T44" s="36" t="str">
        <f>IF(OR($D44="",$E44=""),"",IF(AND($D44&lt;=T$7+6,$E44&gt;=T$7),IF('Plan de Tareas'!$J43="Completada",2,1),""))</f>
        <v/>
      </c>
      <c r="U44" s="36" t="str">
        <f>IF(OR($D44="",$E44=""),"",IF(AND($D44&lt;=U$7+6,$E44&gt;=U$7),IF('Plan de Tareas'!$J43="Completada",2,1),""))</f>
        <v/>
      </c>
      <c r="V44" s="36" t="str">
        <f>IF(OR($D44="",$E44=""),"",IF(AND($D44&lt;=V$7+6,$E44&gt;=V$7),IF('Plan de Tareas'!$J43="Completada",2,1),""))</f>
        <v/>
      </c>
      <c r="W44" s="36" t="str">
        <f>IF(OR($D44="",$E44=""),"",IF(AND($D44&lt;=W$7+6,$E44&gt;=W$7),IF('Plan de Tareas'!$J43="Completada",2,1),""))</f>
        <v/>
      </c>
      <c r="X44" s="36" t="str">
        <f>IF(OR($D44="",$E44=""),"",IF(AND($D44&lt;=X$7+6,$E44&gt;=X$7),IF('Plan de Tareas'!$J43="Completada",2,1),""))</f>
        <v/>
      </c>
      <c r="Y44" s="36" t="str">
        <f>IF(OR($D44="",$E44=""),"",IF(AND($D44&lt;=Y$7+6,$E44&gt;=Y$7),IF('Plan de Tareas'!$J43="Completada",2,1),""))</f>
        <v/>
      </c>
      <c r="Z44" s="36" t="str">
        <f>IF(OR($D44="",$E44=""),"",IF(AND($D44&lt;=Z$7+6,$E44&gt;=Z$7),IF('Plan de Tareas'!$J43="Completada",2,1),""))</f>
        <v/>
      </c>
      <c r="AA44" s="36" t="str">
        <f>IF(OR($D44="",$E44=""),"",IF(AND($D44&lt;=AA$7+6,$E44&gt;=AA$7),IF('Plan de Tareas'!$J43="Completada",2,1),""))</f>
        <v/>
      </c>
      <c r="AB44" s="36" t="str">
        <f>IF(OR($D44="",$E44=""),"",IF(AND($D44&lt;=AB$7+6,$E44&gt;=AB$7),IF('Plan de Tareas'!$J43="Completada",2,1),""))</f>
        <v/>
      </c>
      <c r="AC44" s="36" t="str">
        <f>IF(OR($D44="",$E44=""),"",IF(AND($D44&lt;=AC$7+6,$E44&gt;=AC$7),IF('Plan de Tareas'!$J43="Completada",2,1),""))</f>
        <v/>
      </c>
      <c r="AD44" s="36" t="str">
        <f>IF(OR($D44="",$E44=""),"",IF(AND($D44&lt;=AD$7+6,$E44&gt;=AD$7),IF('Plan de Tareas'!$J43="Completada",2,1),""))</f>
        <v/>
      </c>
      <c r="AE44" s="36" t="str">
        <f>IF(OR($D44="",$E44=""),"",IF(AND($D44&lt;=AE$7+6,$E44&gt;=AE$7),IF('Plan de Tareas'!$J43="Completada",2,1),""))</f>
        <v/>
      </c>
    </row>
    <row r="45" spans="1:31" ht="15" customHeight="1" x14ac:dyDescent="0.3">
      <c r="A45" s="37" t="str">
        <f>IF('Plan de Tareas'!$C44="","",'Plan de Tareas'!$A44)</f>
        <v/>
      </c>
      <c r="B45" s="26" t="str">
        <f>IF('Plan de Tareas'!$C44="","",'Plan de Tareas'!$C44)</f>
        <v/>
      </c>
      <c r="C45" s="26" t="str">
        <f>IF('Plan de Tareas'!$C44="","",'Plan de Tareas'!$D44)</f>
        <v/>
      </c>
      <c r="D45" s="38" t="str">
        <f>IF('Plan de Tareas'!$F44="","",'Plan de Tareas'!$F44)</f>
        <v/>
      </c>
      <c r="E45" s="38" t="str">
        <f>IF('Plan de Tareas'!$G44="","",'Plan de Tareas'!$G44)</f>
        <v/>
      </c>
      <c r="F45" s="36" t="str">
        <f>IF(OR($D45="",$E45=""),"",IF(AND($D45&lt;=F$7+6,$E45&gt;=F$7),IF('Plan de Tareas'!$J44="Completada",2,1),""))</f>
        <v/>
      </c>
      <c r="G45" s="36" t="str">
        <f>IF(OR($D45="",$E45=""),"",IF(AND($D45&lt;=G$7+6,$E45&gt;=G$7),IF('Plan de Tareas'!$J44="Completada",2,1),""))</f>
        <v/>
      </c>
      <c r="H45" s="36" t="str">
        <f>IF(OR($D45="",$E45=""),"",IF(AND($D45&lt;=H$7+6,$E45&gt;=H$7),IF('Plan de Tareas'!$J44="Completada",2,1),""))</f>
        <v/>
      </c>
      <c r="I45" s="36" t="str">
        <f>IF(OR($D45="",$E45=""),"",IF(AND($D45&lt;=I$7+6,$E45&gt;=I$7),IF('Plan de Tareas'!$J44="Completada",2,1),""))</f>
        <v/>
      </c>
      <c r="J45" s="36" t="str">
        <f>IF(OR($D45="",$E45=""),"",IF(AND($D45&lt;=J$7+6,$E45&gt;=J$7),IF('Plan de Tareas'!$J44="Completada",2,1),""))</f>
        <v/>
      </c>
      <c r="K45" s="36" t="str">
        <f>IF(OR($D45="",$E45=""),"",IF(AND($D45&lt;=K$7+6,$E45&gt;=K$7),IF('Plan de Tareas'!$J44="Completada",2,1),""))</f>
        <v/>
      </c>
      <c r="L45" s="36" t="str">
        <f>IF(OR($D45="",$E45=""),"",IF(AND($D45&lt;=L$7+6,$E45&gt;=L$7),IF('Plan de Tareas'!$J44="Completada",2,1),""))</f>
        <v/>
      </c>
      <c r="M45" s="36" t="str">
        <f>IF(OR($D45="",$E45=""),"",IF(AND($D45&lt;=M$7+6,$E45&gt;=M$7),IF('Plan de Tareas'!$J44="Completada",2,1),""))</f>
        <v/>
      </c>
      <c r="N45" s="36" t="str">
        <f>IF(OR($D45="",$E45=""),"",IF(AND($D45&lt;=N$7+6,$E45&gt;=N$7),IF('Plan de Tareas'!$J44="Completada",2,1),""))</f>
        <v/>
      </c>
      <c r="O45" s="36" t="str">
        <f>IF(OR($D45="",$E45=""),"",IF(AND($D45&lt;=O$7+6,$E45&gt;=O$7),IF('Plan de Tareas'!$J44="Completada",2,1),""))</f>
        <v/>
      </c>
      <c r="P45" s="36" t="str">
        <f>IF(OR($D45="",$E45=""),"",IF(AND($D45&lt;=P$7+6,$E45&gt;=P$7),IF('Plan de Tareas'!$J44="Completada",2,1),""))</f>
        <v/>
      </c>
      <c r="Q45" s="36" t="str">
        <f>IF(OR($D45="",$E45=""),"",IF(AND($D45&lt;=Q$7+6,$E45&gt;=Q$7),IF('Plan de Tareas'!$J44="Completada",2,1),""))</f>
        <v/>
      </c>
      <c r="R45" s="36" t="str">
        <f>IF(OR($D45="",$E45=""),"",IF(AND($D45&lt;=R$7+6,$E45&gt;=R$7),IF('Plan de Tareas'!$J44="Completada",2,1),""))</f>
        <v/>
      </c>
      <c r="S45" s="36" t="str">
        <f>IF(OR($D45="",$E45=""),"",IF(AND($D45&lt;=S$7+6,$E45&gt;=S$7),IF('Plan de Tareas'!$J44="Completada",2,1),""))</f>
        <v/>
      </c>
      <c r="T45" s="36" t="str">
        <f>IF(OR($D45="",$E45=""),"",IF(AND($D45&lt;=T$7+6,$E45&gt;=T$7),IF('Plan de Tareas'!$J44="Completada",2,1),""))</f>
        <v/>
      </c>
      <c r="U45" s="36" t="str">
        <f>IF(OR($D45="",$E45=""),"",IF(AND($D45&lt;=U$7+6,$E45&gt;=U$7),IF('Plan de Tareas'!$J44="Completada",2,1),""))</f>
        <v/>
      </c>
      <c r="V45" s="36" t="str">
        <f>IF(OR($D45="",$E45=""),"",IF(AND($D45&lt;=V$7+6,$E45&gt;=V$7),IF('Plan de Tareas'!$J44="Completada",2,1),""))</f>
        <v/>
      </c>
      <c r="W45" s="36" t="str">
        <f>IF(OR($D45="",$E45=""),"",IF(AND($D45&lt;=W$7+6,$E45&gt;=W$7),IF('Plan de Tareas'!$J44="Completada",2,1),""))</f>
        <v/>
      </c>
      <c r="X45" s="36" t="str">
        <f>IF(OR($D45="",$E45=""),"",IF(AND($D45&lt;=X$7+6,$E45&gt;=X$7),IF('Plan de Tareas'!$J44="Completada",2,1),""))</f>
        <v/>
      </c>
      <c r="Y45" s="36" t="str">
        <f>IF(OR($D45="",$E45=""),"",IF(AND($D45&lt;=Y$7+6,$E45&gt;=Y$7),IF('Plan de Tareas'!$J44="Completada",2,1),""))</f>
        <v/>
      </c>
      <c r="Z45" s="36" t="str">
        <f>IF(OR($D45="",$E45=""),"",IF(AND($D45&lt;=Z$7+6,$E45&gt;=Z$7),IF('Plan de Tareas'!$J44="Completada",2,1),""))</f>
        <v/>
      </c>
      <c r="AA45" s="36" t="str">
        <f>IF(OR($D45="",$E45=""),"",IF(AND($D45&lt;=AA$7+6,$E45&gt;=AA$7),IF('Plan de Tareas'!$J44="Completada",2,1),""))</f>
        <v/>
      </c>
      <c r="AB45" s="36" t="str">
        <f>IF(OR($D45="",$E45=""),"",IF(AND($D45&lt;=AB$7+6,$E45&gt;=AB$7),IF('Plan de Tareas'!$J44="Completada",2,1),""))</f>
        <v/>
      </c>
      <c r="AC45" s="36" t="str">
        <f>IF(OR($D45="",$E45=""),"",IF(AND($D45&lt;=AC$7+6,$E45&gt;=AC$7),IF('Plan de Tareas'!$J44="Completada",2,1),""))</f>
        <v/>
      </c>
      <c r="AD45" s="36" t="str">
        <f>IF(OR($D45="",$E45=""),"",IF(AND($D45&lt;=AD$7+6,$E45&gt;=AD$7),IF('Plan de Tareas'!$J44="Completada",2,1),""))</f>
        <v/>
      </c>
      <c r="AE45" s="36" t="str">
        <f>IF(OR($D45="",$E45=""),"",IF(AND($D45&lt;=AE$7+6,$E45&gt;=AE$7),IF('Plan de Tareas'!$J44="Completada",2,1),""))</f>
        <v/>
      </c>
    </row>
    <row r="46" spans="1:31" ht="15" customHeight="1" x14ac:dyDescent="0.3">
      <c r="A46" s="34" t="str">
        <f>IF('Plan de Tareas'!$C45="","",'Plan de Tareas'!$A45)</f>
        <v/>
      </c>
      <c r="B46" s="20" t="str">
        <f>IF('Plan de Tareas'!$C45="","",'Plan de Tareas'!$C45)</f>
        <v/>
      </c>
      <c r="C46" s="20" t="str">
        <f>IF('Plan de Tareas'!$C45="","",'Plan de Tareas'!$D45)</f>
        <v/>
      </c>
      <c r="D46" s="35" t="str">
        <f>IF('Plan de Tareas'!$F45="","",'Plan de Tareas'!$F45)</f>
        <v/>
      </c>
      <c r="E46" s="35" t="str">
        <f>IF('Plan de Tareas'!$G45="","",'Plan de Tareas'!$G45)</f>
        <v/>
      </c>
      <c r="F46" s="36" t="str">
        <f>IF(OR($D46="",$E46=""),"",IF(AND($D46&lt;=F$7+6,$E46&gt;=F$7),IF('Plan de Tareas'!$J45="Completada",2,1),""))</f>
        <v/>
      </c>
      <c r="G46" s="36" t="str">
        <f>IF(OR($D46="",$E46=""),"",IF(AND($D46&lt;=G$7+6,$E46&gt;=G$7),IF('Plan de Tareas'!$J45="Completada",2,1),""))</f>
        <v/>
      </c>
      <c r="H46" s="36" t="str">
        <f>IF(OR($D46="",$E46=""),"",IF(AND($D46&lt;=H$7+6,$E46&gt;=H$7),IF('Plan de Tareas'!$J45="Completada",2,1),""))</f>
        <v/>
      </c>
      <c r="I46" s="36" t="str">
        <f>IF(OR($D46="",$E46=""),"",IF(AND($D46&lt;=I$7+6,$E46&gt;=I$7),IF('Plan de Tareas'!$J45="Completada",2,1),""))</f>
        <v/>
      </c>
      <c r="J46" s="36" t="str">
        <f>IF(OR($D46="",$E46=""),"",IF(AND($D46&lt;=J$7+6,$E46&gt;=J$7),IF('Plan de Tareas'!$J45="Completada",2,1),""))</f>
        <v/>
      </c>
      <c r="K46" s="36" t="str">
        <f>IF(OR($D46="",$E46=""),"",IF(AND($D46&lt;=K$7+6,$E46&gt;=K$7),IF('Plan de Tareas'!$J45="Completada",2,1),""))</f>
        <v/>
      </c>
      <c r="L46" s="36" t="str">
        <f>IF(OR($D46="",$E46=""),"",IF(AND($D46&lt;=L$7+6,$E46&gt;=L$7),IF('Plan de Tareas'!$J45="Completada",2,1),""))</f>
        <v/>
      </c>
      <c r="M46" s="36" t="str">
        <f>IF(OR($D46="",$E46=""),"",IF(AND($D46&lt;=M$7+6,$E46&gt;=M$7),IF('Plan de Tareas'!$J45="Completada",2,1),""))</f>
        <v/>
      </c>
      <c r="N46" s="36" t="str">
        <f>IF(OR($D46="",$E46=""),"",IF(AND($D46&lt;=N$7+6,$E46&gt;=N$7),IF('Plan de Tareas'!$J45="Completada",2,1),""))</f>
        <v/>
      </c>
      <c r="O46" s="36" t="str">
        <f>IF(OR($D46="",$E46=""),"",IF(AND($D46&lt;=O$7+6,$E46&gt;=O$7),IF('Plan de Tareas'!$J45="Completada",2,1),""))</f>
        <v/>
      </c>
      <c r="P46" s="36" t="str">
        <f>IF(OR($D46="",$E46=""),"",IF(AND($D46&lt;=P$7+6,$E46&gt;=P$7),IF('Plan de Tareas'!$J45="Completada",2,1),""))</f>
        <v/>
      </c>
      <c r="Q46" s="36" t="str">
        <f>IF(OR($D46="",$E46=""),"",IF(AND($D46&lt;=Q$7+6,$E46&gt;=Q$7),IF('Plan de Tareas'!$J45="Completada",2,1),""))</f>
        <v/>
      </c>
      <c r="R46" s="36" t="str">
        <f>IF(OR($D46="",$E46=""),"",IF(AND($D46&lt;=R$7+6,$E46&gt;=R$7),IF('Plan de Tareas'!$J45="Completada",2,1),""))</f>
        <v/>
      </c>
      <c r="S46" s="36" t="str">
        <f>IF(OR($D46="",$E46=""),"",IF(AND($D46&lt;=S$7+6,$E46&gt;=S$7),IF('Plan de Tareas'!$J45="Completada",2,1),""))</f>
        <v/>
      </c>
      <c r="T46" s="36" t="str">
        <f>IF(OR($D46="",$E46=""),"",IF(AND($D46&lt;=T$7+6,$E46&gt;=T$7),IF('Plan de Tareas'!$J45="Completada",2,1),""))</f>
        <v/>
      </c>
      <c r="U46" s="36" t="str">
        <f>IF(OR($D46="",$E46=""),"",IF(AND($D46&lt;=U$7+6,$E46&gt;=U$7),IF('Plan de Tareas'!$J45="Completada",2,1),""))</f>
        <v/>
      </c>
      <c r="V46" s="36" t="str">
        <f>IF(OR($D46="",$E46=""),"",IF(AND($D46&lt;=V$7+6,$E46&gt;=V$7),IF('Plan de Tareas'!$J45="Completada",2,1),""))</f>
        <v/>
      </c>
      <c r="W46" s="36" t="str">
        <f>IF(OR($D46="",$E46=""),"",IF(AND($D46&lt;=W$7+6,$E46&gt;=W$7),IF('Plan de Tareas'!$J45="Completada",2,1),""))</f>
        <v/>
      </c>
      <c r="X46" s="36" t="str">
        <f>IF(OR($D46="",$E46=""),"",IF(AND($D46&lt;=X$7+6,$E46&gt;=X$7),IF('Plan de Tareas'!$J45="Completada",2,1),""))</f>
        <v/>
      </c>
      <c r="Y46" s="36" t="str">
        <f>IF(OR($D46="",$E46=""),"",IF(AND($D46&lt;=Y$7+6,$E46&gt;=Y$7),IF('Plan de Tareas'!$J45="Completada",2,1),""))</f>
        <v/>
      </c>
      <c r="Z46" s="36" t="str">
        <f>IF(OR($D46="",$E46=""),"",IF(AND($D46&lt;=Z$7+6,$E46&gt;=Z$7),IF('Plan de Tareas'!$J45="Completada",2,1),""))</f>
        <v/>
      </c>
      <c r="AA46" s="36" t="str">
        <f>IF(OR($D46="",$E46=""),"",IF(AND($D46&lt;=AA$7+6,$E46&gt;=AA$7),IF('Plan de Tareas'!$J45="Completada",2,1),""))</f>
        <v/>
      </c>
      <c r="AB46" s="36" t="str">
        <f>IF(OR($D46="",$E46=""),"",IF(AND($D46&lt;=AB$7+6,$E46&gt;=AB$7),IF('Plan de Tareas'!$J45="Completada",2,1),""))</f>
        <v/>
      </c>
      <c r="AC46" s="36" t="str">
        <f>IF(OR($D46="",$E46=""),"",IF(AND($D46&lt;=AC$7+6,$E46&gt;=AC$7),IF('Plan de Tareas'!$J45="Completada",2,1),""))</f>
        <v/>
      </c>
      <c r="AD46" s="36" t="str">
        <f>IF(OR($D46="",$E46=""),"",IF(AND($D46&lt;=AD$7+6,$E46&gt;=AD$7),IF('Plan de Tareas'!$J45="Completada",2,1),""))</f>
        <v/>
      </c>
      <c r="AE46" s="36" t="str">
        <f>IF(OR($D46="",$E46=""),"",IF(AND($D46&lt;=AE$7+6,$E46&gt;=AE$7),IF('Plan de Tareas'!$J45="Completada",2,1),""))</f>
        <v/>
      </c>
    </row>
    <row r="47" spans="1:31" ht="15" customHeight="1" x14ac:dyDescent="0.3">
      <c r="A47" s="37" t="str">
        <f>IF('Plan de Tareas'!$C46="","",'Plan de Tareas'!$A46)</f>
        <v/>
      </c>
      <c r="B47" s="26" t="str">
        <f>IF('Plan de Tareas'!$C46="","",'Plan de Tareas'!$C46)</f>
        <v/>
      </c>
      <c r="C47" s="26" t="str">
        <f>IF('Plan de Tareas'!$C46="","",'Plan de Tareas'!$D46)</f>
        <v/>
      </c>
      <c r="D47" s="38" t="str">
        <f>IF('Plan de Tareas'!$F46="","",'Plan de Tareas'!$F46)</f>
        <v/>
      </c>
      <c r="E47" s="38" t="str">
        <f>IF('Plan de Tareas'!$G46="","",'Plan de Tareas'!$G46)</f>
        <v/>
      </c>
      <c r="F47" s="36" t="str">
        <f>IF(OR($D47="",$E47=""),"",IF(AND($D47&lt;=F$7+6,$E47&gt;=F$7),IF('Plan de Tareas'!$J46="Completada",2,1),""))</f>
        <v/>
      </c>
      <c r="G47" s="36" t="str">
        <f>IF(OR($D47="",$E47=""),"",IF(AND($D47&lt;=G$7+6,$E47&gt;=G$7),IF('Plan de Tareas'!$J46="Completada",2,1),""))</f>
        <v/>
      </c>
      <c r="H47" s="36" t="str">
        <f>IF(OR($D47="",$E47=""),"",IF(AND($D47&lt;=H$7+6,$E47&gt;=H$7),IF('Plan de Tareas'!$J46="Completada",2,1),""))</f>
        <v/>
      </c>
      <c r="I47" s="36" t="str">
        <f>IF(OR($D47="",$E47=""),"",IF(AND($D47&lt;=I$7+6,$E47&gt;=I$7),IF('Plan de Tareas'!$J46="Completada",2,1),""))</f>
        <v/>
      </c>
      <c r="J47" s="36" t="str">
        <f>IF(OR($D47="",$E47=""),"",IF(AND($D47&lt;=J$7+6,$E47&gt;=J$7),IF('Plan de Tareas'!$J46="Completada",2,1),""))</f>
        <v/>
      </c>
      <c r="K47" s="36" t="str">
        <f>IF(OR($D47="",$E47=""),"",IF(AND($D47&lt;=K$7+6,$E47&gt;=K$7),IF('Plan de Tareas'!$J46="Completada",2,1),""))</f>
        <v/>
      </c>
      <c r="L47" s="36" t="str">
        <f>IF(OR($D47="",$E47=""),"",IF(AND($D47&lt;=L$7+6,$E47&gt;=L$7),IF('Plan de Tareas'!$J46="Completada",2,1),""))</f>
        <v/>
      </c>
      <c r="M47" s="36" t="str">
        <f>IF(OR($D47="",$E47=""),"",IF(AND($D47&lt;=M$7+6,$E47&gt;=M$7),IF('Plan de Tareas'!$J46="Completada",2,1),""))</f>
        <v/>
      </c>
      <c r="N47" s="36" t="str">
        <f>IF(OR($D47="",$E47=""),"",IF(AND($D47&lt;=N$7+6,$E47&gt;=N$7),IF('Plan de Tareas'!$J46="Completada",2,1),""))</f>
        <v/>
      </c>
      <c r="O47" s="36" t="str">
        <f>IF(OR($D47="",$E47=""),"",IF(AND($D47&lt;=O$7+6,$E47&gt;=O$7),IF('Plan de Tareas'!$J46="Completada",2,1),""))</f>
        <v/>
      </c>
      <c r="P47" s="36" t="str">
        <f>IF(OR($D47="",$E47=""),"",IF(AND($D47&lt;=P$7+6,$E47&gt;=P$7),IF('Plan de Tareas'!$J46="Completada",2,1),""))</f>
        <v/>
      </c>
      <c r="Q47" s="36" t="str">
        <f>IF(OR($D47="",$E47=""),"",IF(AND($D47&lt;=Q$7+6,$E47&gt;=Q$7),IF('Plan de Tareas'!$J46="Completada",2,1),""))</f>
        <v/>
      </c>
      <c r="R47" s="36" t="str">
        <f>IF(OR($D47="",$E47=""),"",IF(AND($D47&lt;=R$7+6,$E47&gt;=R$7),IF('Plan de Tareas'!$J46="Completada",2,1),""))</f>
        <v/>
      </c>
      <c r="S47" s="36" t="str">
        <f>IF(OR($D47="",$E47=""),"",IF(AND($D47&lt;=S$7+6,$E47&gt;=S$7),IF('Plan de Tareas'!$J46="Completada",2,1),""))</f>
        <v/>
      </c>
      <c r="T47" s="36" t="str">
        <f>IF(OR($D47="",$E47=""),"",IF(AND($D47&lt;=T$7+6,$E47&gt;=T$7),IF('Plan de Tareas'!$J46="Completada",2,1),""))</f>
        <v/>
      </c>
      <c r="U47" s="36" t="str">
        <f>IF(OR($D47="",$E47=""),"",IF(AND($D47&lt;=U$7+6,$E47&gt;=U$7),IF('Plan de Tareas'!$J46="Completada",2,1),""))</f>
        <v/>
      </c>
      <c r="V47" s="36" t="str">
        <f>IF(OR($D47="",$E47=""),"",IF(AND($D47&lt;=V$7+6,$E47&gt;=V$7),IF('Plan de Tareas'!$J46="Completada",2,1),""))</f>
        <v/>
      </c>
      <c r="W47" s="36" t="str">
        <f>IF(OR($D47="",$E47=""),"",IF(AND($D47&lt;=W$7+6,$E47&gt;=W$7),IF('Plan de Tareas'!$J46="Completada",2,1),""))</f>
        <v/>
      </c>
      <c r="X47" s="36" t="str">
        <f>IF(OR($D47="",$E47=""),"",IF(AND($D47&lt;=X$7+6,$E47&gt;=X$7),IF('Plan de Tareas'!$J46="Completada",2,1),""))</f>
        <v/>
      </c>
      <c r="Y47" s="36" t="str">
        <f>IF(OR($D47="",$E47=""),"",IF(AND($D47&lt;=Y$7+6,$E47&gt;=Y$7),IF('Plan de Tareas'!$J46="Completada",2,1),""))</f>
        <v/>
      </c>
      <c r="Z47" s="36" t="str">
        <f>IF(OR($D47="",$E47=""),"",IF(AND($D47&lt;=Z$7+6,$E47&gt;=Z$7),IF('Plan de Tareas'!$J46="Completada",2,1),""))</f>
        <v/>
      </c>
      <c r="AA47" s="36" t="str">
        <f>IF(OR($D47="",$E47=""),"",IF(AND($D47&lt;=AA$7+6,$E47&gt;=AA$7),IF('Plan de Tareas'!$J46="Completada",2,1),""))</f>
        <v/>
      </c>
      <c r="AB47" s="36" t="str">
        <f>IF(OR($D47="",$E47=""),"",IF(AND($D47&lt;=AB$7+6,$E47&gt;=AB$7),IF('Plan de Tareas'!$J46="Completada",2,1),""))</f>
        <v/>
      </c>
      <c r="AC47" s="36" t="str">
        <f>IF(OR($D47="",$E47=""),"",IF(AND($D47&lt;=AC$7+6,$E47&gt;=AC$7),IF('Plan de Tareas'!$J46="Completada",2,1),""))</f>
        <v/>
      </c>
      <c r="AD47" s="36" t="str">
        <f>IF(OR($D47="",$E47=""),"",IF(AND($D47&lt;=AD$7+6,$E47&gt;=AD$7),IF('Plan de Tareas'!$J46="Completada",2,1),""))</f>
        <v/>
      </c>
      <c r="AE47" s="36" t="str">
        <f>IF(OR($D47="",$E47=""),"",IF(AND($D47&lt;=AE$7+6,$E47&gt;=AE$7),IF('Plan de Tareas'!$J46="Completada",2,1),""))</f>
        <v/>
      </c>
    </row>
    <row r="48" spans="1:31" ht="15" customHeight="1" x14ac:dyDescent="0.3">
      <c r="A48" s="34" t="str">
        <f>IF('Plan de Tareas'!$C47="","",'Plan de Tareas'!$A47)</f>
        <v/>
      </c>
      <c r="B48" s="20" t="str">
        <f>IF('Plan de Tareas'!$C47="","",'Plan de Tareas'!$C47)</f>
        <v/>
      </c>
      <c r="C48" s="20" t="str">
        <f>IF('Plan de Tareas'!$C47="","",'Plan de Tareas'!$D47)</f>
        <v/>
      </c>
      <c r="D48" s="35" t="str">
        <f>IF('Plan de Tareas'!$F47="","",'Plan de Tareas'!$F47)</f>
        <v/>
      </c>
      <c r="E48" s="35" t="str">
        <f>IF('Plan de Tareas'!$G47="","",'Plan de Tareas'!$G47)</f>
        <v/>
      </c>
      <c r="F48" s="36" t="str">
        <f>IF(OR($D48="",$E48=""),"",IF(AND($D48&lt;=F$7+6,$E48&gt;=F$7),IF('Plan de Tareas'!$J47="Completada",2,1),""))</f>
        <v/>
      </c>
      <c r="G48" s="36" t="str">
        <f>IF(OR($D48="",$E48=""),"",IF(AND($D48&lt;=G$7+6,$E48&gt;=G$7),IF('Plan de Tareas'!$J47="Completada",2,1),""))</f>
        <v/>
      </c>
      <c r="H48" s="36" t="str">
        <f>IF(OR($D48="",$E48=""),"",IF(AND($D48&lt;=H$7+6,$E48&gt;=H$7),IF('Plan de Tareas'!$J47="Completada",2,1),""))</f>
        <v/>
      </c>
      <c r="I48" s="36" t="str">
        <f>IF(OR($D48="",$E48=""),"",IF(AND($D48&lt;=I$7+6,$E48&gt;=I$7),IF('Plan de Tareas'!$J47="Completada",2,1),""))</f>
        <v/>
      </c>
      <c r="J48" s="36" t="str">
        <f>IF(OR($D48="",$E48=""),"",IF(AND($D48&lt;=J$7+6,$E48&gt;=J$7),IF('Plan de Tareas'!$J47="Completada",2,1),""))</f>
        <v/>
      </c>
      <c r="K48" s="36" t="str">
        <f>IF(OR($D48="",$E48=""),"",IF(AND($D48&lt;=K$7+6,$E48&gt;=K$7),IF('Plan de Tareas'!$J47="Completada",2,1),""))</f>
        <v/>
      </c>
      <c r="L48" s="36" t="str">
        <f>IF(OR($D48="",$E48=""),"",IF(AND($D48&lt;=L$7+6,$E48&gt;=L$7),IF('Plan de Tareas'!$J47="Completada",2,1),""))</f>
        <v/>
      </c>
      <c r="M48" s="36" t="str">
        <f>IF(OR($D48="",$E48=""),"",IF(AND($D48&lt;=M$7+6,$E48&gt;=M$7),IF('Plan de Tareas'!$J47="Completada",2,1),""))</f>
        <v/>
      </c>
      <c r="N48" s="36" t="str">
        <f>IF(OR($D48="",$E48=""),"",IF(AND($D48&lt;=N$7+6,$E48&gt;=N$7),IF('Plan de Tareas'!$J47="Completada",2,1),""))</f>
        <v/>
      </c>
      <c r="O48" s="36" t="str">
        <f>IF(OR($D48="",$E48=""),"",IF(AND($D48&lt;=O$7+6,$E48&gt;=O$7),IF('Plan de Tareas'!$J47="Completada",2,1),""))</f>
        <v/>
      </c>
      <c r="P48" s="36" t="str">
        <f>IF(OR($D48="",$E48=""),"",IF(AND($D48&lt;=P$7+6,$E48&gt;=P$7),IF('Plan de Tareas'!$J47="Completada",2,1),""))</f>
        <v/>
      </c>
      <c r="Q48" s="36" t="str">
        <f>IF(OR($D48="",$E48=""),"",IF(AND($D48&lt;=Q$7+6,$E48&gt;=Q$7),IF('Plan de Tareas'!$J47="Completada",2,1),""))</f>
        <v/>
      </c>
      <c r="R48" s="36" t="str">
        <f>IF(OR($D48="",$E48=""),"",IF(AND($D48&lt;=R$7+6,$E48&gt;=R$7),IF('Plan de Tareas'!$J47="Completada",2,1),""))</f>
        <v/>
      </c>
      <c r="S48" s="36" t="str">
        <f>IF(OR($D48="",$E48=""),"",IF(AND($D48&lt;=S$7+6,$E48&gt;=S$7),IF('Plan de Tareas'!$J47="Completada",2,1),""))</f>
        <v/>
      </c>
      <c r="T48" s="36" t="str">
        <f>IF(OR($D48="",$E48=""),"",IF(AND($D48&lt;=T$7+6,$E48&gt;=T$7),IF('Plan de Tareas'!$J47="Completada",2,1),""))</f>
        <v/>
      </c>
      <c r="U48" s="36" t="str">
        <f>IF(OR($D48="",$E48=""),"",IF(AND($D48&lt;=U$7+6,$E48&gt;=U$7),IF('Plan de Tareas'!$J47="Completada",2,1),""))</f>
        <v/>
      </c>
      <c r="V48" s="36" t="str">
        <f>IF(OR($D48="",$E48=""),"",IF(AND($D48&lt;=V$7+6,$E48&gt;=V$7),IF('Plan de Tareas'!$J47="Completada",2,1),""))</f>
        <v/>
      </c>
      <c r="W48" s="36" t="str">
        <f>IF(OR($D48="",$E48=""),"",IF(AND($D48&lt;=W$7+6,$E48&gt;=W$7),IF('Plan de Tareas'!$J47="Completada",2,1),""))</f>
        <v/>
      </c>
      <c r="X48" s="36" t="str">
        <f>IF(OR($D48="",$E48=""),"",IF(AND($D48&lt;=X$7+6,$E48&gt;=X$7),IF('Plan de Tareas'!$J47="Completada",2,1),""))</f>
        <v/>
      </c>
      <c r="Y48" s="36" t="str">
        <f>IF(OR($D48="",$E48=""),"",IF(AND($D48&lt;=Y$7+6,$E48&gt;=Y$7),IF('Plan de Tareas'!$J47="Completada",2,1),""))</f>
        <v/>
      </c>
      <c r="Z48" s="36" t="str">
        <f>IF(OR($D48="",$E48=""),"",IF(AND($D48&lt;=Z$7+6,$E48&gt;=Z$7),IF('Plan de Tareas'!$J47="Completada",2,1),""))</f>
        <v/>
      </c>
      <c r="AA48" s="36" t="str">
        <f>IF(OR($D48="",$E48=""),"",IF(AND($D48&lt;=AA$7+6,$E48&gt;=AA$7),IF('Plan de Tareas'!$J47="Completada",2,1),""))</f>
        <v/>
      </c>
      <c r="AB48" s="36" t="str">
        <f>IF(OR($D48="",$E48=""),"",IF(AND($D48&lt;=AB$7+6,$E48&gt;=AB$7),IF('Plan de Tareas'!$J47="Completada",2,1),""))</f>
        <v/>
      </c>
      <c r="AC48" s="36" t="str">
        <f>IF(OR($D48="",$E48=""),"",IF(AND($D48&lt;=AC$7+6,$E48&gt;=AC$7),IF('Plan de Tareas'!$J47="Completada",2,1),""))</f>
        <v/>
      </c>
      <c r="AD48" s="36" t="str">
        <f>IF(OR($D48="",$E48=""),"",IF(AND($D48&lt;=AD$7+6,$E48&gt;=AD$7),IF('Plan de Tareas'!$J47="Completada",2,1),""))</f>
        <v/>
      </c>
      <c r="AE48" s="36" t="str">
        <f>IF(OR($D48="",$E48=""),"",IF(AND($D48&lt;=AE$7+6,$E48&gt;=AE$7),IF('Plan de Tareas'!$J47="Completada",2,1),""))</f>
        <v/>
      </c>
    </row>
    <row r="49" spans="1:31" ht="15" customHeight="1" x14ac:dyDescent="0.3">
      <c r="A49" s="37" t="str">
        <f>IF('Plan de Tareas'!$C48="","",'Plan de Tareas'!$A48)</f>
        <v/>
      </c>
      <c r="B49" s="26" t="str">
        <f>IF('Plan de Tareas'!$C48="","",'Plan de Tareas'!$C48)</f>
        <v/>
      </c>
      <c r="C49" s="26" t="str">
        <f>IF('Plan de Tareas'!$C48="","",'Plan de Tareas'!$D48)</f>
        <v/>
      </c>
      <c r="D49" s="38" t="str">
        <f>IF('Plan de Tareas'!$F48="","",'Plan de Tareas'!$F48)</f>
        <v/>
      </c>
      <c r="E49" s="38" t="str">
        <f>IF('Plan de Tareas'!$G48="","",'Plan de Tareas'!$G48)</f>
        <v/>
      </c>
      <c r="F49" s="36" t="str">
        <f>IF(OR($D49="",$E49=""),"",IF(AND($D49&lt;=F$7+6,$E49&gt;=F$7),IF('Plan de Tareas'!$J48="Completada",2,1),""))</f>
        <v/>
      </c>
      <c r="G49" s="36" t="str">
        <f>IF(OR($D49="",$E49=""),"",IF(AND($D49&lt;=G$7+6,$E49&gt;=G$7),IF('Plan de Tareas'!$J48="Completada",2,1),""))</f>
        <v/>
      </c>
      <c r="H49" s="36" t="str">
        <f>IF(OR($D49="",$E49=""),"",IF(AND($D49&lt;=H$7+6,$E49&gt;=H$7),IF('Plan de Tareas'!$J48="Completada",2,1),""))</f>
        <v/>
      </c>
      <c r="I49" s="36" t="str">
        <f>IF(OR($D49="",$E49=""),"",IF(AND($D49&lt;=I$7+6,$E49&gt;=I$7),IF('Plan de Tareas'!$J48="Completada",2,1),""))</f>
        <v/>
      </c>
      <c r="J49" s="36" t="str">
        <f>IF(OR($D49="",$E49=""),"",IF(AND($D49&lt;=J$7+6,$E49&gt;=J$7),IF('Plan de Tareas'!$J48="Completada",2,1),""))</f>
        <v/>
      </c>
      <c r="K49" s="36" t="str">
        <f>IF(OR($D49="",$E49=""),"",IF(AND($D49&lt;=K$7+6,$E49&gt;=K$7),IF('Plan de Tareas'!$J48="Completada",2,1),""))</f>
        <v/>
      </c>
      <c r="L49" s="36" t="str">
        <f>IF(OR($D49="",$E49=""),"",IF(AND($D49&lt;=L$7+6,$E49&gt;=L$7),IF('Plan de Tareas'!$J48="Completada",2,1),""))</f>
        <v/>
      </c>
      <c r="M49" s="36" t="str">
        <f>IF(OR($D49="",$E49=""),"",IF(AND($D49&lt;=M$7+6,$E49&gt;=M$7),IF('Plan de Tareas'!$J48="Completada",2,1),""))</f>
        <v/>
      </c>
      <c r="N49" s="36" t="str">
        <f>IF(OR($D49="",$E49=""),"",IF(AND($D49&lt;=N$7+6,$E49&gt;=N$7),IF('Plan de Tareas'!$J48="Completada",2,1),""))</f>
        <v/>
      </c>
      <c r="O49" s="36" t="str">
        <f>IF(OR($D49="",$E49=""),"",IF(AND($D49&lt;=O$7+6,$E49&gt;=O$7),IF('Plan de Tareas'!$J48="Completada",2,1),""))</f>
        <v/>
      </c>
      <c r="P49" s="36" t="str">
        <f>IF(OR($D49="",$E49=""),"",IF(AND($D49&lt;=P$7+6,$E49&gt;=P$7),IF('Plan de Tareas'!$J48="Completada",2,1),""))</f>
        <v/>
      </c>
      <c r="Q49" s="36" t="str">
        <f>IF(OR($D49="",$E49=""),"",IF(AND($D49&lt;=Q$7+6,$E49&gt;=Q$7),IF('Plan de Tareas'!$J48="Completada",2,1),""))</f>
        <v/>
      </c>
      <c r="R49" s="36" t="str">
        <f>IF(OR($D49="",$E49=""),"",IF(AND($D49&lt;=R$7+6,$E49&gt;=R$7),IF('Plan de Tareas'!$J48="Completada",2,1),""))</f>
        <v/>
      </c>
      <c r="S49" s="36" t="str">
        <f>IF(OR($D49="",$E49=""),"",IF(AND($D49&lt;=S$7+6,$E49&gt;=S$7),IF('Plan de Tareas'!$J48="Completada",2,1),""))</f>
        <v/>
      </c>
      <c r="T49" s="36" t="str">
        <f>IF(OR($D49="",$E49=""),"",IF(AND($D49&lt;=T$7+6,$E49&gt;=T$7),IF('Plan de Tareas'!$J48="Completada",2,1),""))</f>
        <v/>
      </c>
      <c r="U49" s="36" t="str">
        <f>IF(OR($D49="",$E49=""),"",IF(AND($D49&lt;=U$7+6,$E49&gt;=U$7),IF('Plan de Tareas'!$J48="Completada",2,1),""))</f>
        <v/>
      </c>
      <c r="V49" s="36" t="str">
        <f>IF(OR($D49="",$E49=""),"",IF(AND($D49&lt;=V$7+6,$E49&gt;=V$7),IF('Plan de Tareas'!$J48="Completada",2,1),""))</f>
        <v/>
      </c>
      <c r="W49" s="36" t="str">
        <f>IF(OR($D49="",$E49=""),"",IF(AND($D49&lt;=W$7+6,$E49&gt;=W$7),IF('Plan de Tareas'!$J48="Completada",2,1),""))</f>
        <v/>
      </c>
      <c r="X49" s="36" t="str">
        <f>IF(OR($D49="",$E49=""),"",IF(AND($D49&lt;=X$7+6,$E49&gt;=X$7),IF('Plan de Tareas'!$J48="Completada",2,1),""))</f>
        <v/>
      </c>
      <c r="Y49" s="36" t="str">
        <f>IF(OR($D49="",$E49=""),"",IF(AND($D49&lt;=Y$7+6,$E49&gt;=Y$7),IF('Plan de Tareas'!$J48="Completada",2,1),""))</f>
        <v/>
      </c>
      <c r="Z49" s="36" t="str">
        <f>IF(OR($D49="",$E49=""),"",IF(AND($D49&lt;=Z$7+6,$E49&gt;=Z$7),IF('Plan de Tareas'!$J48="Completada",2,1),""))</f>
        <v/>
      </c>
      <c r="AA49" s="36" t="str">
        <f>IF(OR($D49="",$E49=""),"",IF(AND($D49&lt;=AA$7+6,$E49&gt;=AA$7),IF('Plan de Tareas'!$J48="Completada",2,1),""))</f>
        <v/>
      </c>
      <c r="AB49" s="36" t="str">
        <f>IF(OR($D49="",$E49=""),"",IF(AND($D49&lt;=AB$7+6,$E49&gt;=AB$7),IF('Plan de Tareas'!$J48="Completada",2,1),""))</f>
        <v/>
      </c>
      <c r="AC49" s="36" t="str">
        <f>IF(OR($D49="",$E49=""),"",IF(AND($D49&lt;=AC$7+6,$E49&gt;=AC$7),IF('Plan de Tareas'!$J48="Completada",2,1),""))</f>
        <v/>
      </c>
      <c r="AD49" s="36" t="str">
        <f>IF(OR($D49="",$E49=""),"",IF(AND($D49&lt;=AD$7+6,$E49&gt;=AD$7),IF('Plan de Tareas'!$J48="Completada",2,1),""))</f>
        <v/>
      </c>
      <c r="AE49" s="36" t="str">
        <f>IF(OR($D49="",$E49=""),"",IF(AND($D49&lt;=AE$7+6,$E49&gt;=AE$7),IF('Plan de Tareas'!$J48="Completada",2,1),""))</f>
        <v/>
      </c>
    </row>
    <row r="50" spans="1:31" ht="15" customHeight="1" x14ac:dyDescent="0.3">
      <c r="A50" s="34" t="str">
        <f>IF('Plan de Tareas'!$C49="","",'Plan de Tareas'!$A49)</f>
        <v/>
      </c>
      <c r="B50" s="20" t="str">
        <f>IF('Plan de Tareas'!$C49="","",'Plan de Tareas'!$C49)</f>
        <v/>
      </c>
      <c r="C50" s="20" t="str">
        <f>IF('Plan de Tareas'!$C49="","",'Plan de Tareas'!$D49)</f>
        <v/>
      </c>
      <c r="D50" s="35" t="str">
        <f>IF('Plan de Tareas'!$F49="","",'Plan de Tareas'!$F49)</f>
        <v/>
      </c>
      <c r="E50" s="35" t="str">
        <f>IF('Plan de Tareas'!$G49="","",'Plan de Tareas'!$G49)</f>
        <v/>
      </c>
      <c r="F50" s="36" t="str">
        <f>IF(OR($D50="",$E50=""),"",IF(AND($D50&lt;=F$7+6,$E50&gt;=F$7),IF('Plan de Tareas'!$J49="Completada",2,1),""))</f>
        <v/>
      </c>
      <c r="G50" s="36" t="str">
        <f>IF(OR($D50="",$E50=""),"",IF(AND($D50&lt;=G$7+6,$E50&gt;=G$7),IF('Plan de Tareas'!$J49="Completada",2,1),""))</f>
        <v/>
      </c>
      <c r="H50" s="36" t="str">
        <f>IF(OR($D50="",$E50=""),"",IF(AND($D50&lt;=H$7+6,$E50&gt;=H$7),IF('Plan de Tareas'!$J49="Completada",2,1),""))</f>
        <v/>
      </c>
      <c r="I50" s="36" t="str">
        <f>IF(OR($D50="",$E50=""),"",IF(AND($D50&lt;=I$7+6,$E50&gt;=I$7),IF('Plan de Tareas'!$J49="Completada",2,1),""))</f>
        <v/>
      </c>
      <c r="J50" s="36" t="str">
        <f>IF(OR($D50="",$E50=""),"",IF(AND($D50&lt;=J$7+6,$E50&gt;=J$7),IF('Plan de Tareas'!$J49="Completada",2,1),""))</f>
        <v/>
      </c>
      <c r="K50" s="36" t="str">
        <f>IF(OR($D50="",$E50=""),"",IF(AND($D50&lt;=K$7+6,$E50&gt;=K$7),IF('Plan de Tareas'!$J49="Completada",2,1),""))</f>
        <v/>
      </c>
      <c r="L50" s="36" t="str">
        <f>IF(OR($D50="",$E50=""),"",IF(AND($D50&lt;=L$7+6,$E50&gt;=L$7),IF('Plan de Tareas'!$J49="Completada",2,1),""))</f>
        <v/>
      </c>
      <c r="M50" s="36" t="str">
        <f>IF(OR($D50="",$E50=""),"",IF(AND($D50&lt;=M$7+6,$E50&gt;=M$7),IF('Plan de Tareas'!$J49="Completada",2,1),""))</f>
        <v/>
      </c>
      <c r="N50" s="36" t="str">
        <f>IF(OR($D50="",$E50=""),"",IF(AND($D50&lt;=N$7+6,$E50&gt;=N$7),IF('Plan de Tareas'!$J49="Completada",2,1),""))</f>
        <v/>
      </c>
      <c r="O50" s="36" t="str">
        <f>IF(OR($D50="",$E50=""),"",IF(AND($D50&lt;=O$7+6,$E50&gt;=O$7),IF('Plan de Tareas'!$J49="Completada",2,1),""))</f>
        <v/>
      </c>
      <c r="P50" s="36" t="str">
        <f>IF(OR($D50="",$E50=""),"",IF(AND($D50&lt;=P$7+6,$E50&gt;=P$7),IF('Plan de Tareas'!$J49="Completada",2,1),""))</f>
        <v/>
      </c>
      <c r="Q50" s="36" t="str">
        <f>IF(OR($D50="",$E50=""),"",IF(AND($D50&lt;=Q$7+6,$E50&gt;=Q$7),IF('Plan de Tareas'!$J49="Completada",2,1),""))</f>
        <v/>
      </c>
      <c r="R50" s="36" t="str">
        <f>IF(OR($D50="",$E50=""),"",IF(AND($D50&lt;=R$7+6,$E50&gt;=R$7),IF('Plan de Tareas'!$J49="Completada",2,1),""))</f>
        <v/>
      </c>
      <c r="S50" s="36" t="str">
        <f>IF(OR($D50="",$E50=""),"",IF(AND($D50&lt;=S$7+6,$E50&gt;=S$7),IF('Plan de Tareas'!$J49="Completada",2,1),""))</f>
        <v/>
      </c>
      <c r="T50" s="36" t="str">
        <f>IF(OR($D50="",$E50=""),"",IF(AND($D50&lt;=T$7+6,$E50&gt;=T$7),IF('Plan de Tareas'!$J49="Completada",2,1),""))</f>
        <v/>
      </c>
      <c r="U50" s="36" t="str">
        <f>IF(OR($D50="",$E50=""),"",IF(AND($D50&lt;=U$7+6,$E50&gt;=U$7),IF('Plan de Tareas'!$J49="Completada",2,1),""))</f>
        <v/>
      </c>
      <c r="V50" s="36" t="str">
        <f>IF(OR($D50="",$E50=""),"",IF(AND($D50&lt;=V$7+6,$E50&gt;=V$7),IF('Plan de Tareas'!$J49="Completada",2,1),""))</f>
        <v/>
      </c>
      <c r="W50" s="36" t="str">
        <f>IF(OR($D50="",$E50=""),"",IF(AND($D50&lt;=W$7+6,$E50&gt;=W$7),IF('Plan de Tareas'!$J49="Completada",2,1),""))</f>
        <v/>
      </c>
      <c r="X50" s="36" t="str">
        <f>IF(OR($D50="",$E50=""),"",IF(AND($D50&lt;=X$7+6,$E50&gt;=X$7),IF('Plan de Tareas'!$J49="Completada",2,1),""))</f>
        <v/>
      </c>
      <c r="Y50" s="36" t="str">
        <f>IF(OR($D50="",$E50=""),"",IF(AND($D50&lt;=Y$7+6,$E50&gt;=Y$7),IF('Plan de Tareas'!$J49="Completada",2,1),""))</f>
        <v/>
      </c>
      <c r="Z50" s="36" t="str">
        <f>IF(OR($D50="",$E50=""),"",IF(AND($D50&lt;=Z$7+6,$E50&gt;=Z$7),IF('Plan de Tareas'!$J49="Completada",2,1),""))</f>
        <v/>
      </c>
      <c r="AA50" s="36" t="str">
        <f>IF(OR($D50="",$E50=""),"",IF(AND($D50&lt;=AA$7+6,$E50&gt;=AA$7),IF('Plan de Tareas'!$J49="Completada",2,1),""))</f>
        <v/>
      </c>
      <c r="AB50" s="36" t="str">
        <f>IF(OR($D50="",$E50=""),"",IF(AND($D50&lt;=AB$7+6,$E50&gt;=AB$7),IF('Plan de Tareas'!$J49="Completada",2,1),""))</f>
        <v/>
      </c>
      <c r="AC50" s="36" t="str">
        <f>IF(OR($D50="",$E50=""),"",IF(AND($D50&lt;=AC$7+6,$E50&gt;=AC$7),IF('Plan de Tareas'!$J49="Completada",2,1),""))</f>
        <v/>
      </c>
      <c r="AD50" s="36" t="str">
        <f>IF(OR($D50="",$E50=""),"",IF(AND($D50&lt;=AD$7+6,$E50&gt;=AD$7),IF('Plan de Tareas'!$J49="Completada",2,1),""))</f>
        <v/>
      </c>
      <c r="AE50" s="36" t="str">
        <f>IF(OR($D50="",$E50=""),"",IF(AND($D50&lt;=AE$7+6,$E50&gt;=AE$7),IF('Plan de Tareas'!$J49="Completada",2,1),""))</f>
        <v/>
      </c>
    </row>
    <row r="51" spans="1:31" ht="15" customHeight="1" x14ac:dyDescent="0.3">
      <c r="A51" s="37" t="str">
        <f>IF('Plan de Tareas'!$C50="","",'Plan de Tareas'!$A50)</f>
        <v/>
      </c>
      <c r="B51" s="26" t="str">
        <f>IF('Plan de Tareas'!$C50="","",'Plan de Tareas'!$C50)</f>
        <v/>
      </c>
      <c r="C51" s="26" t="str">
        <f>IF('Plan de Tareas'!$C50="","",'Plan de Tareas'!$D50)</f>
        <v/>
      </c>
      <c r="D51" s="38" t="str">
        <f>IF('Plan de Tareas'!$F50="","",'Plan de Tareas'!$F50)</f>
        <v/>
      </c>
      <c r="E51" s="38" t="str">
        <f>IF('Plan de Tareas'!$G50="","",'Plan de Tareas'!$G50)</f>
        <v/>
      </c>
      <c r="F51" s="36" t="str">
        <f>IF(OR($D51="",$E51=""),"",IF(AND($D51&lt;=F$7+6,$E51&gt;=F$7),IF('Plan de Tareas'!$J50="Completada",2,1),""))</f>
        <v/>
      </c>
      <c r="G51" s="36" t="str">
        <f>IF(OR($D51="",$E51=""),"",IF(AND($D51&lt;=G$7+6,$E51&gt;=G$7),IF('Plan de Tareas'!$J50="Completada",2,1),""))</f>
        <v/>
      </c>
      <c r="H51" s="36" t="str">
        <f>IF(OR($D51="",$E51=""),"",IF(AND($D51&lt;=H$7+6,$E51&gt;=H$7),IF('Plan de Tareas'!$J50="Completada",2,1),""))</f>
        <v/>
      </c>
      <c r="I51" s="36" t="str">
        <f>IF(OR($D51="",$E51=""),"",IF(AND($D51&lt;=I$7+6,$E51&gt;=I$7),IF('Plan de Tareas'!$J50="Completada",2,1),""))</f>
        <v/>
      </c>
      <c r="J51" s="36" t="str">
        <f>IF(OR($D51="",$E51=""),"",IF(AND($D51&lt;=J$7+6,$E51&gt;=J$7),IF('Plan de Tareas'!$J50="Completada",2,1),""))</f>
        <v/>
      </c>
      <c r="K51" s="36" t="str">
        <f>IF(OR($D51="",$E51=""),"",IF(AND($D51&lt;=K$7+6,$E51&gt;=K$7),IF('Plan de Tareas'!$J50="Completada",2,1),""))</f>
        <v/>
      </c>
      <c r="L51" s="36" t="str">
        <f>IF(OR($D51="",$E51=""),"",IF(AND($D51&lt;=L$7+6,$E51&gt;=L$7),IF('Plan de Tareas'!$J50="Completada",2,1),""))</f>
        <v/>
      </c>
      <c r="M51" s="36" t="str">
        <f>IF(OR($D51="",$E51=""),"",IF(AND($D51&lt;=M$7+6,$E51&gt;=M$7),IF('Plan de Tareas'!$J50="Completada",2,1),""))</f>
        <v/>
      </c>
      <c r="N51" s="36" t="str">
        <f>IF(OR($D51="",$E51=""),"",IF(AND($D51&lt;=N$7+6,$E51&gt;=N$7),IF('Plan de Tareas'!$J50="Completada",2,1),""))</f>
        <v/>
      </c>
      <c r="O51" s="36" t="str">
        <f>IF(OR($D51="",$E51=""),"",IF(AND($D51&lt;=O$7+6,$E51&gt;=O$7),IF('Plan de Tareas'!$J50="Completada",2,1),""))</f>
        <v/>
      </c>
      <c r="P51" s="36" t="str">
        <f>IF(OR($D51="",$E51=""),"",IF(AND($D51&lt;=P$7+6,$E51&gt;=P$7),IF('Plan de Tareas'!$J50="Completada",2,1),""))</f>
        <v/>
      </c>
      <c r="Q51" s="36" t="str">
        <f>IF(OR($D51="",$E51=""),"",IF(AND($D51&lt;=Q$7+6,$E51&gt;=Q$7),IF('Plan de Tareas'!$J50="Completada",2,1),""))</f>
        <v/>
      </c>
      <c r="R51" s="36" t="str">
        <f>IF(OR($D51="",$E51=""),"",IF(AND($D51&lt;=R$7+6,$E51&gt;=R$7),IF('Plan de Tareas'!$J50="Completada",2,1),""))</f>
        <v/>
      </c>
      <c r="S51" s="36" t="str">
        <f>IF(OR($D51="",$E51=""),"",IF(AND($D51&lt;=S$7+6,$E51&gt;=S$7),IF('Plan de Tareas'!$J50="Completada",2,1),""))</f>
        <v/>
      </c>
      <c r="T51" s="36" t="str">
        <f>IF(OR($D51="",$E51=""),"",IF(AND($D51&lt;=T$7+6,$E51&gt;=T$7),IF('Plan de Tareas'!$J50="Completada",2,1),""))</f>
        <v/>
      </c>
      <c r="U51" s="36" t="str">
        <f>IF(OR($D51="",$E51=""),"",IF(AND($D51&lt;=U$7+6,$E51&gt;=U$7),IF('Plan de Tareas'!$J50="Completada",2,1),""))</f>
        <v/>
      </c>
      <c r="V51" s="36" t="str">
        <f>IF(OR($D51="",$E51=""),"",IF(AND($D51&lt;=V$7+6,$E51&gt;=V$7),IF('Plan de Tareas'!$J50="Completada",2,1),""))</f>
        <v/>
      </c>
      <c r="W51" s="36" t="str">
        <f>IF(OR($D51="",$E51=""),"",IF(AND($D51&lt;=W$7+6,$E51&gt;=W$7),IF('Plan de Tareas'!$J50="Completada",2,1),""))</f>
        <v/>
      </c>
      <c r="X51" s="36" t="str">
        <f>IF(OR($D51="",$E51=""),"",IF(AND($D51&lt;=X$7+6,$E51&gt;=X$7),IF('Plan de Tareas'!$J50="Completada",2,1),""))</f>
        <v/>
      </c>
      <c r="Y51" s="36" t="str">
        <f>IF(OR($D51="",$E51=""),"",IF(AND($D51&lt;=Y$7+6,$E51&gt;=Y$7),IF('Plan de Tareas'!$J50="Completada",2,1),""))</f>
        <v/>
      </c>
      <c r="Z51" s="36" t="str">
        <f>IF(OR($D51="",$E51=""),"",IF(AND($D51&lt;=Z$7+6,$E51&gt;=Z$7),IF('Plan de Tareas'!$J50="Completada",2,1),""))</f>
        <v/>
      </c>
      <c r="AA51" s="36" t="str">
        <f>IF(OR($D51="",$E51=""),"",IF(AND($D51&lt;=AA$7+6,$E51&gt;=AA$7),IF('Plan de Tareas'!$J50="Completada",2,1),""))</f>
        <v/>
      </c>
      <c r="AB51" s="36" t="str">
        <f>IF(OR($D51="",$E51=""),"",IF(AND($D51&lt;=AB$7+6,$E51&gt;=AB$7),IF('Plan de Tareas'!$J50="Completada",2,1),""))</f>
        <v/>
      </c>
      <c r="AC51" s="36" t="str">
        <f>IF(OR($D51="",$E51=""),"",IF(AND($D51&lt;=AC$7+6,$E51&gt;=AC$7),IF('Plan de Tareas'!$J50="Completada",2,1),""))</f>
        <v/>
      </c>
      <c r="AD51" s="36" t="str">
        <f>IF(OR($D51="",$E51=""),"",IF(AND($D51&lt;=AD$7+6,$E51&gt;=AD$7),IF('Plan de Tareas'!$J50="Completada",2,1),""))</f>
        <v/>
      </c>
      <c r="AE51" s="36" t="str">
        <f>IF(OR($D51="",$E51=""),"",IF(AND($D51&lt;=AE$7+6,$E51&gt;=AE$7),IF('Plan de Tareas'!$J50="Completada",2,1),""))</f>
        <v/>
      </c>
    </row>
    <row r="52" spans="1:31" ht="15" customHeight="1" x14ac:dyDescent="0.3">
      <c r="A52" s="34" t="str">
        <f>IF('Plan de Tareas'!$C51="","",'Plan de Tareas'!$A51)</f>
        <v/>
      </c>
      <c r="B52" s="20" t="str">
        <f>IF('Plan de Tareas'!$C51="","",'Plan de Tareas'!$C51)</f>
        <v/>
      </c>
      <c r="C52" s="20" t="str">
        <f>IF('Plan de Tareas'!$C51="","",'Plan de Tareas'!$D51)</f>
        <v/>
      </c>
      <c r="D52" s="35" t="str">
        <f>IF('Plan de Tareas'!$F51="","",'Plan de Tareas'!$F51)</f>
        <v/>
      </c>
      <c r="E52" s="35" t="str">
        <f>IF('Plan de Tareas'!$G51="","",'Plan de Tareas'!$G51)</f>
        <v/>
      </c>
      <c r="F52" s="36" t="str">
        <f>IF(OR($D52="",$E52=""),"",IF(AND($D52&lt;=F$7+6,$E52&gt;=F$7),IF('Plan de Tareas'!$J51="Completada",2,1),""))</f>
        <v/>
      </c>
      <c r="G52" s="36" t="str">
        <f>IF(OR($D52="",$E52=""),"",IF(AND($D52&lt;=G$7+6,$E52&gt;=G$7),IF('Plan de Tareas'!$J51="Completada",2,1),""))</f>
        <v/>
      </c>
      <c r="H52" s="36" t="str">
        <f>IF(OR($D52="",$E52=""),"",IF(AND($D52&lt;=H$7+6,$E52&gt;=H$7),IF('Plan de Tareas'!$J51="Completada",2,1),""))</f>
        <v/>
      </c>
      <c r="I52" s="36" t="str">
        <f>IF(OR($D52="",$E52=""),"",IF(AND($D52&lt;=I$7+6,$E52&gt;=I$7),IF('Plan de Tareas'!$J51="Completada",2,1),""))</f>
        <v/>
      </c>
      <c r="J52" s="36" t="str">
        <f>IF(OR($D52="",$E52=""),"",IF(AND($D52&lt;=J$7+6,$E52&gt;=J$7),IF('Plan de Tareas'!$J51="Completada",2,1),""))</f>
        <v/>
      </c>
      <c r="K52" s="36" t="str">
        <f>IF(OR($D52="",$E52=""),"",IF(AND($D52&lt;=K$7+6,$E52&gt;=K$7),IF('Plan de Tareas'!$J51="Completada",2,1),""))</f>
        <v/>
      </c>
      <c r="L52" s="36" t="str">
        <f>IF(OR($D52="",$E52=""),"",IF(AND($D52&lt;=L$7+6,$E52&gt;=L$7),IF('Plan de Tareas'!$J51="Completada",2,1),""))</f>
        <v/>
      </c>
      <c r="M52" s="36" t="str">
        <f>IF(OR($D52="",$E52=""),"",IF(AND($D52&lt;=M$7+6,$E52&gt;=M$7),IF('Plan de Tareas'!$J51="Completada",2,1),""))</f>
        <v/>
      </c>
      <c r="N52" s="36" t="str">
        <f>IF(OR($D52="",$E52=""),"",IF(AND($D52&lt;=N$7+6,$E52&gt;=N$7),IF('Plan de Tareas'!$J51="Completada",2,1),""))</f>
        <v/>
      </c>
      <c r="O52" s="36" t="str">
        <f>IF(OR($D52="",$E52=""),"",IF(AND($D52&lt;=O$7+6,$E52&gt;=O$7),IF('Plan de Tareas'!$J51="Completada",2,1),""))</f>
        <v/>
      </c>
      <c r="P52" s="36" t="str">
        <f>IF(OR($D52="",$E52=""),"",IF(AND($D52&lt;=P$7+6,$E52&gt;=P$7),IF('Plan de Tareas'!$J51="Completada",2,1),""))</f>
        <v/>
      </c>
      <c r="Q52" s="36" t="str">
        <f>IF(OR($D52="",$E52=""),"",IF(AND($D52&lt;=Q$7+6,$E52&gt;=Q$7),IF('Plan de Tareas'!$J51="Completada",2,1),""))</f>
        <v/>
      </c>
      <c r="R52" s="36" t="str">
        <f>IF(OR($D52="",$E52=""),"",IF(AND($D52&lt;=R$7+6,$E52&gt;=R$7),IF('Plan de Tareas'!$J51="Completada",2,1),""))</f>
        <v/>
      </c>
      <c r="S52" s="36" t="str">
        <f>IF(OR($D52="",$E52=""),"",IF(AND($D52&lt;=S$7+6,$E52&gt;=S$7),IF('Plan de Tareas'!$J51="Completada",2,1),""))</f>
        <v/>
      </c>
      <c r="T52" s="36" t="str">
        <f>IF(OR($D52="",$E52=""),"",IF(AND($D52&lt;=T$7+6,$E52&gt;=T$7),IF('Plan de Tareas'!$J51="Completada",2,1),""))</f>
        <v/>
      </c>
      <c r="U52" s="36" t="str">
        <f>IF(OR($D52="",$E52=""),"",IF(AND($D52&lt;=U$7+6,$E52&gt;=U$7),IF('Plan de Tareas'!$J51="Completada",2,1),""))</f>
        <v/>
      </c>
      <c r="V52" s="36" t="str">
        <f>IF(OR($D52="",$E52=""),"",IF(AND($D52&lt;=V$7+6,$E52&gt;=V$7),IF('Plan de Tareas'!$J51="Completada",2,1),""))</f>
        <v/>
      </c>
      <c r="W52" s="36" t="str">
        <f>IF(OR($D52="",$E52=""),"",IF(AND($D52&lt;=W$7+6,$E52&gt;=W$7),IF('Plan de Tareas'!$J51="Completada",2,1),""))</f>
        <v/>
      </c>
      <c r="X52" s="36" t="str">
        <f>IF(OR($D52="",$E52=""),"",IF(AND($D52&lt;=X$7+6,$E52&gt;=X$7),IF('Plan de Tareas'!$J51="Completada",2,1),""))</f>
        <v/>
      </c>
      <c r="Y52" s="36" t="str">
        <f>IF(OR($D52="",$E52=""),"",IF(AND($D52&lt;=Y$7+6,$E52&gt;=Y$7),IF('Plan de Tareas'!$J51="Completada",2,1),""))</f>
        <v/>
      </c>
      <c r="Z52" s="36" t="str">
        <f>IF(OR($D52="",$E52=""),"",IF(AND($D52&lt;=Z$7+6,$E52&gt;=Z$7),IF('Plan de Tareas'!$J51="Completada",2,1),""))</f>
        <v/>
      </c>
      <c r="AA52" s="36" t="str">
        <f>IF(OR($D52="",$E52=""),"",IF(AND($D52&lt;=AA$7+6,$E52&gt;=AA$7),IF('Plan de Tareas'!$J51="Completada",2,1),""))</f>
        <v/>
      </c>
      <c r="AB52" s="36" t="str">
        <f>IF(OR($D52="",$E52=""),"",IF(AND($D52&lt;=AB$7+6,$E52&gt;=AB$7),IF('Plan de Tareas'!$J51="Completada",2,1),""))</f>
        <v/>
      </c>
      <c r="AC52" s="36" t="str">
        <f>IF(OR($D52="",$E52=""),"",IF(AND($D52&lt;=AC$7+6,$E52&gt;=AC$7),IF('Plan de Tareas'!$J51="Completada",2,1),""))</f>
        <v/>
      </c>
      <c r="AD52" s="36" t="str">
        <f>IF(OR($D52="",$E52=""),"",IF(AND($D52&lt;=AD$7+6,$E52&gt;=AD$7),IF('Plan de Tareas'!$J51="Completada",2,1),""))</f>
        <v/>
      </c>
      <c r="AE52" s="36" t="str">
        <f>IF(OR($D52="",$E52=""),"",IF(AND($D52&lt;=AE$7+6,$E52&gt;=AE$7),IF('Plan de Tareas'!$J51="Completada",2,1),""))</f>
        <v/>
      </c>
    </row>
    <row r="53" spans="1:31" ht="15" customHeight="1" x14ac:dyDescent="0.3">
      <c r="A53" s="37" t="str">
        <f>IF('Plan de Tareas'!$C52="","",'Plan de Tareas'!$A52)</f>
        <v/>
      </c>
      <c r="B53" s="26" t="str">
        <f>IF('Plan de Tareas'!$C52="","",'Plan de Tareas'!$C52)</f>
        <v/>
      </c>
      <c r="C53" s="26" t="str">
        <f>IF('Plan de Tareas'!$C52="","",'Plan de Tareas'!$D52)</f>
        <v/>
      </c>
      <c r="D53" s="38" t="str">
        <f>IF('Plan de Tareas'!$F52="","",'Plan de Tareas'!$F52)</f>
        <v/>
      </c>
      <c r="E53" s="38" t="str">
        <f>IF('Plan de Tareas'!$G52="","",'Plan de Tareas'!$G52)</f>
        <v/>
      </c>
      <c r="F53" s="36" t="str">
        <f>IF(OR($D53="",$E53=""),"",IF(AND($D53&lt;=F$7+6,$E53&gt;=F$7),IF('Plan de Tareas'!$J52="Completada",2,1),""))</f>
        <v/>
      </c>
      <c r="G53" s="36" t="str">
        <f>IF(OR($D53="",$E53=""),"",IF(AND($D53&lt;=G$7+6,$E53&gt;=G$7),IF('Plan de Tareas'!$J52="Completada",2,1),""))</f>
        <v/>
      </c>
      <c r="H53" s="36" t="str">
        <f>IF(OR($D53="",$E53=""),"",IF(AND($D53&lt;=H$7+6,$E53&gt;=H$7),IF('Plan de Tareas'!$J52="Completada",2,1),""))</f>
        <v/>
      </c>
      <c r="I53" s="36" t="str">
        <f>IF(OR($D53="",$E53=""),"",IF(AND($D53&lt;=I$7+6,$E53&gt;=I$7),IF('Plan de Tareas'!$J52="Completada",2,1),""))</f>
        <v/>
      </c>
      <c r="J53" s="36" t="str">
        <f>IF(OR($D53="",$E53=""),"",IF(AND($D53&lt;=J$7+6,$E53&gt;=J$7),IF('Plan de Tareas'!$J52="Completada",2,1),""))</f>
        <v/>
      </c>
      <c r="K53" s="36" t="str">
        <f>IF(OR($D53="",$E53=""),"",IF(AND($D53&lt;=K$7+6,$E53&gt;=K$7),IF('Plan de Tareas'!$J52="Completada",2,1),""))</f>
        <v/>
      </c>
      <c r="L53" s="36" t="str">
        <f>IF(OR($D53="",$E53=""),"",IF(AND($D53&lt;=L$7+6,$E53&gt;=L$7),IF('Plan de Tareas'!$J52="Completada",2,1),""))</f>
        <v/>
      </c>
      <c r="M53" s="36" t="str">
        <f>IF(OR($D53="",$E53=""),"",IF(AND($D53&lt;=M$7+6,$E53&gt;=M$7),IF('Plan de Tareas'!$J52="Completada",2,1),""))</f>
        <v/>
      </c>
      <c r="N53" s="36" t="str">
        <f>IF(OR($D53="",$E53=""),"",IF(AND($D53&lt;=N$7+6,$E53&gt;=N$7),IF('Plan de Tareas'!$J52="Completada",2,1),""))</f>
        <v/>
      </c>
      <c r="O53" s="36" t="str">
        <f>IF(OR($D53="",$E53=""),"",IF(AND($D53&lt;=O$7+6,$E53&gt;=O$7),IF('Plan de Tareas'!$J52="Completada",2,1),""))</f>
        <v/>
      </c>
      <c r="P53" s="36" t="str">
        <f>IF(OR($D53="",$E53=""),"",IF(AND($D53&lt;=P$7+6,$E53&gt;=P$7),IF('Plan de Tareas'!$J52="Completada",2,1),""))</f>
        <v/>
      </c>
      <c r="Q53" s="36" t="str">
        <f>IF(OR($D53="",$E53=""),"",IF(AND($D53&lt;=Q$7+6,$E53&gt;=Q$7),IF('Plan de Tareas'!$J52="Completada",2,1),""))</f>
        <v/>
      </c>
      <c r="R53" s="36" t="str">
        <f>IF(OR($D53="",$E53=""),"",IF(AND($D53&lt;=R$7+6,$E53&gt;=R$7),IF('Plan de Tareas'!$J52="Completada",2,1),""))</f>
        <v/>
      </c>
      <c r="S53" s="36" t="str">
        <f>IF(OR($D53="",$E53=""),"",IF(AND($D53&lt;=S$7+6,$E53&gt;=S$7),IF('Plan de Tareas'!$J52="Completada",2,1),""))</f>
        <v/>
      </c>
      <c r="T53" s="36" t="str">
        <f>IF(OR($D53="",$E53=""),"",IF(AND($D53&lt;=T$7+6,$E53&gt;=T$7),IF('Plan de Tareas'!$J52="Completada",2,1),""))</f>
        <v/>
      </c>
      <c r="U53" s="36" t="str">
        <f>IF(OR($D53="",$E53=""),"",IF(AND($D53&lt;=U$7+6,$E53&gt;=U$7),IF('Plan de Tareas'!$J52="Completada",2,1),""))</f>
        <v/>
      </c>
      <c r="V53" s="36" t="str">
        <f>IF(OR($D53="",$E53=""),"",IF(AND($D53&lt;=V$7+6,$E53&gt;=V$7),IF('Plan de Tareas'!$J52="Completada",2,1),""))</f>
        <v/>
      </c>
      <c r="W53" s="36" t="str">
        <f>IF(OR($D53="",$E53=""),"",IF(AND($D53&lt;=W$7+6,$E53&gt;=W$7),IF('Plan de Tareas'!$J52="Completada",2,1),""))</f>
        <v/>
      </c>
      <c r="X53" s="36" t="str">
        <f>IF(OR($D53="",$E53=""),"",IF(AND($D53&lt;=X$7+6,$E53&gt;=X$7),IF('Plan de Tareas'!$J52="Completada",2,1),""))</f>
        <v/>
      </c>
      <c r="Y53" s="36" t="str">
        <f>IF(OR($D53="",$E53=""),"",IF(AND($D53&lt;=Y$7+6,$E53&gt;=Y$7),IF('Plan de Tareas'!$J52="Completada",2,1),""))</f>
        <v/>
      </c>
      <c r="Z53" s="36" t="str">
        <f>IF(OR($D53="",$E53=""),"",IF(AND($D53&lt;=Z$7+6,$E53&gt;=Z$7),IF('Plan de Tareas'!$J52="Completada",2,1),""))</f>
        <v/>
      </c>
      <c r="AA53" s="36" t="str">
        <f>IF(OR($D53="",$E53=""),"",IF(AND($D53&lt;=AA$7+6,$E53&gt;=AA$7),IF('Plan de Tareas'!$J52="Completada",2,1),""))</f>
        <v/>
      </c>
      <c r="AB53" s="36" t="str">
        <f>IF(OR($D53="",$E53=""),"",IF(AND($D53&lt;=AB$7+6,$E53&gt;=AB$7),IF('Plan de Tareas'!$J52="Completada",2,1),""))</f>
        <v/>
      </c>
      <c r="AC53" s="36" t="str">
        <f>IF(OR($D53="",$E53=""),"",IF(AND($D53&lt;=AC$7+6,$E53&gt;=AC$7),IF('Plan de Tareas'!$J52="Completada",2,1),""))</f>
        <v/>
      </c>
      <c r="AD53" s="36" t="str">
        <f>IF(OR($D53="",$E53=""),"",IF(AND($D53&lt;=AD$7+6,$E53&gt;=AD$7),IF('Plan de Tareas'!$J52="Completada",2,1),""))</f>
        <v/>
      </c>
      <c r="AE53" s="36" t="str">
        <f>IF(OR($D53="",$E53=""),"",IF(AND($D53&lt;=AE$7+6,$E53&gt;=AE$7),IF('Plan de Tareas'!$J52="Completada",2,1),""))</f>
        <v/>
      </c>
    </row>
    <row r="54" spans="1:31" ht="15" customHeight="1" x14ac:dyDescent="0.3">
      <c r="A54" s="34" t="str">
        <f>IF('Plan de Tareas'!$C53="","",'Plan de Tareas'!$A53)</f>
        <v/>
      </c>
      <c r="B54" s="20" t="str">
        <f>IF('Plan de Tareas'!$C53="","",'Plan de Tareas'!$C53)</f>
        <v/>
      </c>
      <c r="C54" s="20" t="str">
        <f>IF('Plan de Tareas'!$C53="","",'Plan de Tareas'!$D53)</f>
        <v/>
      </c>
      <c r="D54" s="35" t="str">
        <f>IF('Plan de Tareas'!$F53="","",'Plan de Tareas'!$F53)</f>
        <v/>
      </c>
      <c r="E54" s="35" t="str">
        <f>IF('Plan de Tareas'!$G53="","",'Plan de Tareas'!$G53)</f>
        <v/>
      </c>
      <c r="F54" s="36" t="str">
        <f>IF(OR($D54="",$E54=""),"",IF(AND($D54&lt;=F$7+6,$E54&gt;=F$7),IF('Plan de Tareas'!$J53="Completada",2,1),""))</f>
        <v/>
      </c>
      <c r="G54" s="36" t="str">
        <f>IF(OR($D54="",$E54=""),"",IF(AND($D54&lt;=G$7+6,$E54&gt;=G$7),IF('Plan de Tareas'!$J53="Completada",2,1),""))</f>
        <v/>
      </c>
      <c r="H54" s="36" t="str">
        <f>IF(OR($D54="",$E54=""),"",IF(AND($D54&lt;=H$7+6,$E54&gt;=H$7),IF('Plan de Tareas'!$J53="Completada",2,1),""))</f>
        <v/>
      </c>
      <c r="I54" s="36" t="str">
        <f>IF(OR($D54="",$E54=""),"",IF(AND($D54&lt;=I$7+6,$E54&gt;=I$7),IF('Plan de Tareas'!$J53="Completada",2,1),""))</f>
        <v/>
      </c>
      <c r="J54" s="36" t="str">
        <f>IF(OR($D54="",$E54=""),"",IF(AND($D54&lt;=J$7+6,$E54&gt;=J$7),IF('Plan de Tareas'!$J53="Completada",2,1),""))</f>
        <v/>
      </c>
      <c r="K54" s="36" t="str">
        <f>IF(OR($D54="",$E54=""),"",IF(AND($D54&lt;=K$7+6,$E54&gt;=K$7),IF('Plan de Tareas'!$J53="Completada",2,1),""))</f>
        <v/>
      </c>
      <c r="L54" s="36" t="str">
        <f>IF(OR($D54="",$E54=""),"",IF(AND($D54&lt;=L$7+6,$E54&gt;=L$7),IF('Plan de Tareas'!$J53="Completada",2,1),""))</f>
        <v/>
      </c>
      <c r="M54" s="36" t="str">
        <f>IF(OR($D54="",$E54=""),"",IF(AND($D54&lt;=M$7+6,$E54&gt;=M$7),IF('Plan de Tareas'!$J53="Completada",2,1),""))</f>
        <v/>
      </c>
      <c r="N54" s="36" t="str">
        <f>IF(OR($D54="",$E54=""),"",IF(AND($D54&lt;=N$7+6,$E54&gt;=N$7),IF('Plan de Tareas'!$J53="Completada",2,1),""))</f>
        <v/>
      </c>
      <c r="O54" s="36" t="str">
        <f>IF(OR($D54="",$E54=""),"",IF(AND($D54&lt;=O$7+6,$E54&gt;=O$7),IF('Plan de Tareas'!$J53="Completada",2,1),""))</f>
        <v/>
      </c>
      <c r="P54" s="36" t="str">
        <f>IF(OR($D54="",$E54=""),"",IF(AND($D54&lt;=P$7+6,$E54&gt;=P$7),IF('Plan de Tareas'!$J53="Completada",2,1),""))</f>
        <v/>
      </c>
      <c r="Q54" s="36" t="str">
        <f>IF(OR($D54="",$E54=""),"",IF(AND($D54&lt;=Q$7+6,$E54&gt;=Q$7),IF('Plan de Tareas'!$J53="Completada",2,1),""))</f>
        <v/>
      </c>
      <c r="R54" s="36" t="str">
        <f>IF(OR($D54="",$E54=""),"",IF(AND($D54&lt;=R$7+6,$E54&gt;=R$7),IF('Plan de Tareas'!$J53="Completada",2,1),""))</f>
        <v/>
      </c>
      <c r="S54" s="36" t="str">
        <f>IF(OR($D54="",$E54=""),"",IF(AND($D54&lt;=S$7+6,$E54&gt;=S$7),IF('Plan de Tareas'!$J53="Completada",2,1),""))</f>
        <v/>
      </c>
      <c r="T54" s="36" t="str">
        <f>IF(OR($D54="",$E54=""),"",IF(AND($D54&lt;=T$7+6,$E54&gt;=T$7),IF('Plan de Tareas'!$J53="Completada",2,1),""))</f>
        <v/>
      </c>
      <c r="U54" s="36" t="str">
        <f>IF(OR($D54="",$E54=""),"",IF(AND($D54&lt;=U$7+6,$E54&gt;=U$7),IF('Plan de Tareas'!$J53="Completada",2,1),""))</f>
        <v/>
      </c>
      <c r="V54" s="36" t="str">
        <f>IF(OR($D54="",$E54=""),"",IF(AND($D54&lt;=V$7+6,$E54&gt;=V$7),IF('Plan de Tareas'!$J53="Completada",2,1),""))</f>
        <v/>
      </c>
      <c r="W54" s="36" t="str">
        <f>IF(OR($D54="",$E54=""),"",IF(AND($D54&lt;=W$7+6,$E54&gt;=W$7),IF('Plan de Tareas'!$J53="Completada",2,1),""))</f>
        <v/>
      </c>
      <c r="X54" s="36" t="str">
        <f>IF(OR($D54="",$E54=""),"",IF(AND($D54&lt;=X$7+6,$E54&gt;=X$7),IF('Plan de Tareas'!$J53="Completada",2,1),""))</f>
        <v/>
      </c>
      <c r="Y54" s="36" t="str">
        <f>IF(OR($D54="",$E54=""),"",IF(AND($D54&lt;=Y$7+6,$E54&gt;=Y$7),IF('Plan de Tareas'!$J53="Completada",2,1),""))</f>
        <v/>
      </c>
      <c r="Z54" s="36" t="str">
        <f>IF(OR($D54="",$E54=""),"",IF(AND($D54&lt;=Z$7+6,$E54&gt;=Z$7),IF('Plan de Tareas'!$J53="Completada",2,1),""))</f>
        <v/>
      </c>
      <c r="AA54" s="36" t="str">
        <f>IF(OR($D54="",$E54=""),"",IF(AND($D54&lt;=AA$7+6,$E54&gt;=AA$7),IF('Plan de Tareas'!$J53="Completada",2,1),""))</f>
        <v/>
      </c>
      <c r="AB54" s="36" t="str">
        <f>IF(OR($D54="",$E54=""),"",IF(AND($D54&lt;=AB$7+6,$E54&gt;=AB$7),IF('Plan de Tareas'!$J53="Completada",2,1),""))</f>
        <v/>
      </c>
      <c r="AC54" s="36" t="str">
        <f>IF(OR($D54="",$E54=""),"",IF(AND($D54&lt;=AC$7+6,$E54&gt;=AC$7),IF('Plan de Tareas'!$J53="Completada",2,1),""))</f>
        <v/>
      </c>
      <c r="AD54" s="36" t="str">
        <f>IF(OR($D54="",$E54=""),"",IF(AND($D54&lt;=AD$7+6,$E54&gt;=AD$7),IF('Plan de Tareas'!$J53="Completada",2,1),""))</f>
        <v/>
      </c>
      <c r="AE54" s="36" t="str">
        <f>IF(OR($D54="",$E54=""),"",IF(AND($D54&lt;=AE$7+6,$E54&gt;=AE$7),IF('Plan de Tareas'!$J53="Completada",2,1),""))</f>
        <v/>
      </c>
    </row>
    <row r="55" spans="1:31" ht="15" customHeight="1" x14ac:dyDescent="0.3">
      <c r="A55" s="37" t="str">
        <f>IF('Plan de Tareas'!$C54="","",'Plan de Tareas'!$A54)</f>
        <v/>
      </c>
      <c r="B55" s="26" t="str">
        <f>IF('Plan de Tareas'!$C54="","",'Plan de Tareas'!$C54)</f>
        <v/>
      </c>
      <c r="C55" s="26" t="str">
        <f>IF('Plan de Tareas'!$C54="","",'Plan de Tareas'!$D54)</f>
        <v/>
      </c>
      <c r="D55" s="38" t="str">
        <f>IF('Plan de Tareas'!$F54="","",'Plan de Tareas'!$F54)</f>
        <v/>
      </c>
      <c r="E55" s="38" t="str">
        <f>IF('Plan de Tareas'!$G54="","",'Plan de Tareas'!$G54)</f>
        <v/>
      </c>
      <c r="F55" s="36" t="str">
        <f>IF(OR($D55="",$E55=""),"",IF(AND($D55&lt;=F$7+6,$E55&gt;=F$7),IF('Plan de Tareas'!$J54="Completada",2,1),""))</f>
        <v/>
      </c>
      <c r="G55" s="36" t="str">
        <f>IF(OR($D55="",$E55=""),"",IF(AND($D55&lt;=G$7+6,$E55&gt;=G$7),IF('Plan de Tareas'!$J54="Completada",2,1),""))</f>
        <v/>
      </c>
      <c r="H55" s="36" t="str">
        <f>IF(OR($D55="",$E55=""),"",IF(AND($D55&lt;=H$7+6,$E55&gt;=H$7),IF('Plan de Tareas'!$J54="Completada",2,1),""))</f>
        <v/>
      </c>
      <c r="I55" s="36" t="str">
        <f>IF(OR($D55="",$E55=""),"",IF(AND($D55&lt;=I$7+6,$E55&gt;=I$7),IF('Plan de Tareas'!$J54="Completada",2,1),""))</f>
        <v/>
      </c>
      <c r="J55" s="36" t="str">
        <f>IF(OR($D55="",$E55=""),"",IF(AND($D55&lt;=J$7+6,$E55&gt;=J$7),IF('Plan de Tareas'!$J54="Completada",2,1),""))</f>
        <v/>
      </c>
      <c r="K55" s="36" t="str">
        <f>IF(OR($D55="",$E55=""),"",IF(AND($D55&lt;=K$7+6,$E55&gt;=K$7),IF('Plan de Tareas'!$J54="Completada",2,1),""))</f>
        <v/>
      </c>
      <c r="L55" s="36" t="str">
        <f>IF(OR($D55="",$E55=""),"",IF(AND($D55&lt;=L$7+6,$E55&gt;=L$7),IF('Plan de Tareas'!$J54="Completada",2,1),""))</f>
        <v/>
      </c>
      <c r="M55" s="36" t="str">
        <f>IF(OR($D55="",$E55=""),"",IF(AND($D55&lt;=M$7+6,$E55&gt;=M$7),IF('Plan de Tareas'!$J54="Completada",2,1),""))</f>
        <v/>
      </c>
      <c r="N55" s="36" t="str">
        <f>IF(OR($D55="",$E55=""),"",IF(AND($D55&lt;=N$7+6,$E55&gt;=N$7),IF('Plan de Tareas'!$J54="Completada",2,1),""))</f>
        <v/>
      </c>
      <c r="O55" s="36" t="str">
        <f>IF(OR($D55="",$E55=""),"",IF(AND($D55&lt;=O$7+6,$E55&gt;=O$7),IF('Plan de Tareas'!$J54="Completada",2,1),""))</f>
        <v/>
      </c>
      <c r="P55" s="36" t="str">
        <f>IF(OR($D55="",$E55=""),"",IF(AND($D55&lt;=P$7+6,$E55&gt;=P$7),IF('Plan de Tareas'!$J54="Completada",2,1),""))</f>
        <v/>
      </c>
      <c r="Q55" s="36" t="str">
        <f>IF(OR($D55="",$E55=""),"",IF(AND($D55&lt;=Q$7+6,$E55&gt;=Q$7),IF('Plan de Tareas'!$J54="Completada",2,1),""))</f>
        <v/>
      </c>
      <c r="R55" s="36" t="str">
        <f>IF(OR($D55="",$E55=""),"",IF(AND($D55&lt;=R$7+6,$E55&gt;=R$7),IF('Plan de Tareas'!$J54="Completada",2,1),""))</f>
        <v/>
      </c>
      <c r="S55" s="36" t="str">
        <f>IF(OR($D55="",$E55=""),"",IF(AND($D55&lt;=S$7+6,$E55&gt;=S$7),IF('Plan de Tareas'!$J54="Completada",2,1),""))</f>
        <v/>
      </c>
      <c r="T55" s="36" t="str">
        <f>IF(OR($D55="",$E55=""),"",IF(AND($D55&lt;=T$7+6,$E55&gt;=T$7),IF('Plan de Tareas'!$J54="Completada",2,1),""))</f>
        <v/>
      </c>
      <c r="U55" s="36" t="str">
        <f>IF(OR($D55="",$E55=""),"",IF(AND($D55&lt;=U$7+6,$E55&gt;=U$7),IF('Plan de Tareas'!$J54="Completada",2,1),""))</f>
        <v/>
      </c>
      <c r="V55" s="36" t="str">
        <f>IF(OR($D55="",$E55=""),"",IF(AND($D55&lt;=V$7+6,$E55&gt;=V$7),IF('Plan de Tareas'!$J54="Completada",2,1),""))</f>
        <v/>
      </c>
      <c r="W55" s="36" t="str">
        <f>IF(OR($D55="",$E55=""),"",IF(AND($D55&lt;=W$7+6,$E55&gt;=W$7),IF('Plan de Tareas'!$J54="Completada",2,1),""))</f>
        <v/>
      </c>
      <c r="X55" s="36" t="str">
        <f>IF(OR($D55="",$E55=""),"",IF(AND($D55&lt;=X$7+6,$E55&gt;=X$7),IF('Plan de Tareas'!$J54="Completada",2,1),""))</f>
        <v/>
      </c>
      <c r="Y55" s="36" t="str">
        <f>IF(OR($D55="",$E55=""),"",IF(AND($D55&lt;=Y$7+6,$E55&gt;=Y$7),IF('Plan de Tareas'!$J54="Completada",2,1),""))</f>
        <v/>
      </c>
      <c r="Z55" s="36" t="str">
        <f>IF(OR($D55="",$E55=""),"",IF(AND($D55&lt;=Z$7+6,$E55&gt;=Z$7),IF('Plan de Tareas'!$J54="Completada",2,1),""))</f>
        <v/>
      </c>
      <c r="AA55" s="36" t="str">
        <f>IF(OR($D55="",$E55=""),"",IF(AND($D55&lt;=AA$7+6,$E55&gt;=AA$7),IF('Plan de Tareas'!$J54="Completada",2,1),""))</f>
        <v/>
      </c>
      <c r="AB55" s="36" t="str">
        <f>IF(OR($D55="",$E55=""),"",IF(AND($D55&lt;=AB$7+6,$E55&gt;=AB$7),IF('Plan de Tareas'!$J54="Completada",2,1),""))</f>
        <v/>
      </c>
      <c r="AC55" s="36" t="str">
        <f>IF(OR($D55="",$E55=""),"",IF(AND($D55&lt;=AC$7+6,$E55&gt;=AC$7),IF('Plan de Tareas'!$J54="Completada",2,1),""))</f>
        <v/>
      </c>
      <c r="AD55" s="36" t="str">
        <f>IF(OR($D55="",$E55=""),"",IF(AND($D55&lt;=AD$7+6,$E55&gt;=AD$7),IF('Plan de Tareas'!$J54="Completada",2,1),""))</f>
        <v/>
      </c>
      <c r="AE55" s="36" t="str">
        <f>IF(OR($D55="",$E55=""),"",IF(AND($D55&lt;=AE$7+6,$E55&gt;=AE$7),IF('Plan de Tareas'!$J54="Completada",2,1),""))</f>
        <v/>
      </c>
    </row>
    <row r="56" spans="1:31" ht="15" customHeight="1" x14ac:dyDescent="0.3">
      <c r="A56" s="34" t="str">
        <f>IF('Plan de Tareas'!$C55="","",'Plan de Tareas'!$A55)</f>
        <v/>
      </c>
      <c r="B56" s="20" t="str">
        <f>IF('Plan de Tareas'!$C55="","",'Plan de Tareas'!$C55)</f>
        <v/>
      </c>
      <c r="C56" s="20" t="str">
        <f>IF('Plan de Tareas'!$C55="","",'Plan de Tareas'!$D55)</f>
        <v/>
      </c>
      <c r="D56" s="35" t="str">
        <f>IF('Plan de Tareas'!$F55="","",'Plan de Tareas'!$F55)</f>
        <v/>
      </c>
      <c r="E56" s="35" t="str">
        <f>IF('Plan de Tareas'!$G55="","",'Plan de Tareas'!$G55)</f>
        <v/>
      </c>
      <c r="F56" s="36" t="str">
        <f>IF(OR($D56="",$E56=""),"",IF(AND($D56&lt;=F$7+6,$E56&gt;=F$7),IF('Plan de Tareas'!$J55="Completada",2,1),""))</f>
        <v/>
      </c>
      <c r="G56" s="36" t="str">
        <f>IF(OR($D56="",$E56=""),"",IF(AND($D56&lt;=G$7+6,$E56&gt;=G$7),IF('Plan de Tareas'!$J55="Completada",2,1),""))</f>
        <v/>
      </c>
      <c r="H56" s="36" t="str">
        <f>IF(OR($D56="",$E56=""),"",IF(AND($D56&lt;=H$7+6,$E56&gt;=H$7),IF('Plan de Tareas'!$J55="Completada",2,1),""))</f>
        <v/>
      </c>
      <c r="I56" s="36" t="str">
        <f>IF(OR($D56="",$E56=""),"",IF(AND($D56&lt;=I$7+6,$E56&gt;=I$7),IF('Plan de Tareas'!$J55="Completada",2,1),""))</f>
        <v/>
      </c>
      <c r="J56" s="36" t="str">
        <f>IF(OR($D56="",$E56=""),"",IF(AND($D56&lt;=J$7+6,$E56&gt;=J$7),IF('Plan de Tareas'!$J55="Completada",2,1),""))</f>
        <v/>
      </c>
      <c r="K56" s="36" t="str">
        <f>IF(OR($D56="",$E56=""),"",IF(AND($D56&lt;=K$7+6,$E56&gt;=K$7),IF('Plan de Tareas'!$J55="Completada",2,1),""))</f>
        <v/>
      </c>
      <c r="L56" s="36" t="str">
        <f>IF(OR($D56="",$E56=""),"",IF(AND($D56&lt;=L$7+6,$E56&gt;=L$7),IF('Plan de Tareas'!$J55="Completada",2,1),""))</f>
        <v/>
      </c>
      <c r="M56" s="36" t="str">
        <f>IF(OR($D56="",$E56=""),"",IF(AND($D56&lt;=M$7+6,$E56&gt;=M$7),IF('Plan de Tareas'!$J55="Completada",2,1),""))</f>
        <v/>
      </c>
      <c r="N56" s="36" t="str">
        <f>IF(OR($D56="",$E56=""),"",IF(AND($D56&lt;=N$7+6,$E56&gt;=N$7),IF('Plan de Tareas'!$J55="Completada",2,1),""))</f>
        <v/>
      </c>
      <c r="O56" s="36" t="str">
        <f>IF(OR($D56="",$E56=""),"",IF(AND($D56&lt;=O$7+6,$E56&gt;=O$7),IF('Plan de Tareas'!$J55="Completada",2,1),""))</f>
        <v/>
      </c>
      <c r="P56" s="36" t="str">
        <f>IF(OR($D56="",$E56=""),"",IF(AND($D56&lt;=P$7+6,$E56&gt;=P$7),IF('Plan de Tareas'!$J55="Completada",2,1),""))</f>
        <v/>
      </c>
      <c r="Q56" s="36" t="str">
        <f>IF(OR($D56="",$E56=""),"",IF(AND($D56&lt;=Q$7+6,$E56&gt;=Q$7),IF('Plan de Tareas'!$J55="Completada",2,1),""))</f>
        <v/>
      </c>
      <c r="R56" s="36" t="str">
        <f>IF(OR($D56="",$E56=""),"",IF(AND($D56&lt;=R$7+6,$E56&gt;=R$7),IF('Plan de Tareas'!$J55="Completada",2,1),""))</f>
        <v/>
      </c>
      <c r="S56" s="36" t="str">
        <f>IF(OR($D56="",$E56=""),"",IF(AND($D56&lt;=S$7+6,$E56&gt;=S$7),IF('Plan de Tareas'!$J55="Completada",2,1),""))</f>
        <v/>
      </c>
      <c r="T56" s="36" t="str">
        <f>IF(OR($D56="",$E56=""),"",IF(AND($D56&lt;=T$7+6,$E56&gt;=T$7),IF('Plan de Tareas'!$J55="Completada",2,1),""))</f>
        <v/>
      </c>
      <c r="U56" s="36" t="str">
        <f>IF(OR($D56="",$E56=""),"",IF(AND($D56&lt;=U$7+6,$E56&gt;=U$7),IF('Plan de Tareas'!$J55="Completada",2,1),""))</f>
        <v/>
      </c>
      <c r="V56" s="36" t="str">
        <f>IF(OR($D56="",$E56=""),"",IF(AND($D56&lt;=V$7+6,$E56&gt;=V$7),IF('Plan de Tareas'!$J55="Completada",2,1),""))</f>
        <v/>
      </c>
      <c r="W56" s="36" t="str">
        <f>IF(OR($D56="",$E56=""),"",IF(AND($D56&lt;=W$7+6,$E56&gt;=W$7),IF('Plan de Tareas'!$J55="Completada",2,1),""))</f>
        <v/>
      </c>
      <c r="X56" s="36" t="str">
        <f>IF(OR($D56="",$E56=""),"",IF(AND($D56&lt;=X$7+6,$E56&gt;=X$7),IF('Plan de Tareas'!$J55="Completada",2,1),""))</f>
        <v/>
      </c>
      <c r="Y56" s="36" t="str">
        <f>IF(OR($D56="",$E56=""),"",IF(AND($D56&lt;=Y$7+6,$E56&gt;=Y$7),IF('Plan de Tareas'!$J55="Completada",2,1),""))</f>
        <v/>
      </c>
      <c r="Z56" s="36" t="str">
        <f>IF(OR($D56="",$E56=""),"",IF(AND($D56&lt;=Z$7+6,$E56&gt;=Z$7),IF('Plan de Tareas'!$J55="Completada",2,1),""))</f>
        <v/>
      </c>
      <c r="AA56" s="36" t="str">
        <f>IF(OR($D56="",$E56=""),"",IF(AND($D56&lt;=AA$7+6,$E56&gt;=AA$7),IF('Plan de Tareas'!$J55="Completada",2,1),""))</f>
        <v/>
      </c>
      <c r="AB56" s="36" t="str">
        <f>IF(OR($D56="",$E56=""),"",IF(AND($D56&lt;=AB$7+6,$E56&gt;=AB$7),IF('Plan de Tareas'!$J55="Completada",2,1),""))</f>
        <v/>
      </c>
      <c r="AC56" s="36" t="str">
        <f>IF(OR($D56="",$E56=""),"",IF(AND($D56&lt;=AC$7+6,$E56&gt;=AC$7),IF('Plan de Tareas'!$J55="Completada",2,1),""))</f>
        <v/>
      </c>
      <c r="AD56" s="36" t="str">
        <f>IF(OR($D56="",$E56=""),"",IF(AND($D56&lt;=AD$7+6,$E56&gt;=AD$7),IF('Plan de Tareas'!$J55="Completada",2,1),""))</f>
        <v/>
      </c>
      <c r="AE56" s="36" t="str">
        <f>IF(OR($D56="",$E56=""),"",IF(AND($D56&lt;=AE$7+6,$E56&gt;=AE$7),IF('Plan de Tareas'!$J55="Completada",2,1),""))</f>
        <v/>
      </c>
    </row>
    <row r="57" spans="1:31" ht="15" customHeight="1" x14ac:dyDescent="0.3">
      <c r="A57" s="37" t="str">
        <f>IF('Plan de Tareas'!$C56="","",'Plan de Tareas'!$A56)</f>
        <v/>
      </c>
      <c r="B57" s="26" t="str">
        <f>IF('Plan de Tareas'!$C56="","",'Plan de Tareas'!$C56)</f>
        <v/>
      </c>
      <c r="C57" s="26" t="str">
        <f>IF('Plan de Tareas'!$C56="","",'Plan de Tareas'!$D56)</f>
        <v/>
      </c>
      <c r="D57" s="38" t="str">
        <f>IF('Plan de Tareas'!$F56="","",'Plan de Tareas'!$F56)</f>
        <v/>
      </c>
      <c r="E57" s="38" t="str">
        <f>IF('Plan de Tareas'!$G56="","",'Plan de Tareas'!$G56)</f>
        <v/>
      </c>
      <c r="F57" s="36" t="str">
        <f>IF(OR($D57="",$E57=""),"",IF(AND($D57&lt;=F$7+6,$E57&gt;=F$7),IF('Plan de Tareas'!$J56="Completada",2,1),""))</f>
        <v/>
      </c>
      <c r="G57" s="36" t="str">
        <f>IF(OR($D57="",$E57=""),"",IF(AND($D57&lt;=G$7+6,$E57&gt;=G$7),IF('Plan de Tareas'!$J56="Completada",2,1),""))</f>
        <v/>
      </c>
      <c r="H57" s="36" t="str">
        <f>IF(OR($D57="",$E57=""),"",IF(AND($D57&lt;=H$7+6,$E57&gt;=H$7),IF('Plan de Tareas'!$J56="Completada",2,1),""))</f>
        <v/>
      </c>
      <c r="I57" s="36" t="str">
        <f>IF(OR($D57="",$E57=""),"",IF(AND($D57&lt;=I$7+6,$E57&gt;=I$7),IF('Plan de Tareas'!$J56="Completada",2,1),""))</f>
        <v/>
      </c>
      <c r="J57" s="36" t="str">
        <f>IF(OR($D57="",$E57=""),"",IF(AND($D57&lt;=J$7+6,$E57&gt;=J$7),IF('Plan de Tareas'!$J56="Completada",2,1),""))</f>
        <v/>
      </c>
      <c r="K57" s="36" t="str">
        <f>IF(OR($D57="",$E57=""),"",IF(AND($D57&lt;=K$7+6,$E57&gt;=K$7),IF('Plan de Tareas'!$J56="Completada",2,1),""))</f>
        <v/>
      </c>
      <c r="L57" s="36" t="str">
        <f>IF(OR($D57="",$E57=""),"",IF(AND($D57&lt;=L$7+6,$E57&gt;=L$7),IF('Plan de Tareas'!$J56="Completada",2,1),""))</f>
        <v/>
      </c>
      <c r="M57" s="36" t="str">
        <f>IF(OR($D57="",$E57=""),"",IF(AND($D57&lt;=M$7+6,$E57&gt;=M$7),IF('Plan de Tareas'!$J56="Completada",2,1),""))</f>
        <v/>
      </c>
      <c r="N57" s="36" t="str">
        <f>IF(OR($D57="",$E57=""),"",IF(AND($D57&lt;=N$7+6,$E57&gt;=N$7),IF('Plan de Tareas'!$J56="Completada",2,1),""))</f>
        <v/>
      </c>
      <c r="O57" s="36" t="str">
        <f>IF(OR($D57="",$E57=""),"",IF(AND($D57&lt;=O$7+6,$E57&gt;=O$7),IF('Plan de Tareas'!$J56="Completada",2,1),""))</f>
        <v/>
      </c>
      <c r="P57" s="36" t="str">
        <f>IF(OR($D57="",$E57=""),"",IF(AND($D57&lt;=P$7+6,$E57&gt;=P$7),IF('Plan de Tareas'!$J56="Completada",2,1),""))</f>
        <v/>
      </c>
      <c r="Q57" s="36" t="str">
        <f>IF(OR($D57="",$E57=""),"",IF(AND($D57&lt;=Q$7+6,$E57&gt;=Q$7),IF('Plan de Tareas'!$J56="Completada",2,1),""))</f>
        <v/>
      </c>
      <c r="R57" s="36" t="str">
        <f>IF(OR($D57="",$E57=""),"",IF(AND($D57&lt;=R$7+6,$E57&gt;=R$7),IF('Plan de Tareas'!$J56="Completada",2,1),""))</f>
        <v/>
      </c>
      <c r="S57" s="36" t="str">
        <f>IF(OR($D57="",$E57=""),"",IF(AND($D57&lt;=S$7+6,$E57&gt;=S$7),IF('Plan de Tareas'!$J56="Completada",2,1),""))</f>
        <v/>
      </c>
      <c r="T57" s="36" t="str">
        <f>IF(OR($D57="",$E57=""),"",IF(AND($D57&lt;=T$7+6,$E57&gt;=T$7),IF('Plan de Tareas'!$J56="Completada",2,1),""))</f>
        <v/>
      </c>
      <c r="U57" s="36" t="str">
        <f>IF(OR($D57="",$E57=""),"",IF(AND($D57&lt;=U$7+6,$E57&gt;=U$7),IF('Plan de Tareas'!$J56="Completada",2,1),""))</f>
        <v/>
      </c>
      <c r="V57" s="36" t="str">
        <f>IF(OR($D57="",$E57=""),"",IF(AND($D57&lt;=V$7+6,$E57&gt;=V$7),IF('Plan de Tareas'!$J56="Completada",2,1),""))</f>
        <v/>
      </c>
      <c r="W57" s="36" t="str">
        <f>IF(OR($D57="",$E57=""),"",IF(AND($D57&lt;=W$7+6,$E57&gt;=W$7),IF('Plan de Tareas'!$J56="Completada",2,1),""))</f>
        <v/>
      </c>
      <c r="X57" s="36" t="str">
        <f>IF(OR($D57="",$E57=""),"",IF(AND($D57&lt;=X$7+6,$E57&gt;=X$7),IF('Plan de Tareas'!$J56="Completada",2,1),""))</f>
        <v/>
      </c>
      <c r="Y57" s="36" t="str">
        <f>IF(OR($D57="",$E57=""),"",IF(AND($D57&lt;=Y$7+6,$E57&gt;=Y$7),IF('Plan de Tareas'!$J56="Completada",2,1),""))</f>
        <v/>
      </c>
      <c r="Z57" s="36" t="str">
        <f>IF(OR($D57="",$E57=""),"",IF(AND($D57&lt;=Z$7+6,$E57&gt;=Z$7),IF('Plan de Tareas'!$J56="Completada",2,1),""))</f>
        <v/>
      </c>
      <c r="AA57" s="36" t="str">
        <f>IF(OR($D57="",$E57=""),"",IF(AND($D57&lt;=AA$7+6,$E57&gt;=AA$7),IF('Plan de Tareas'!$J56="Completada",2,1),""))</f>
        <v/>
      </c>
      <c r="AB57" s="36" t="str">
        <f>IF(OR($D57="",$E57=""),"",IF(AND($D57&lt;=AB$7+6,$E57&gt;=AB$7),IF('Plan de Tareas'!$J56="Completada",2,1),""))</f>
        <v/>
      </c>
      <c r="AC57" s="36" t="str">
        <f>IF(OR($D57="",$E57=""),"",IF(AND($D57&lt;=AC$7+6,$E57&gt;=AC$7),IF('Plan de Tareas'!$J56="Completada",2,1),""))</f>
        <v/>
      </c>
      <c r="AD57" s="36" t="str">
        <f>IF(OR($D57="",$E57=""),"",IF(AND($D57&lt;=AD$7+6,$E57&gt;=AD$7),IF('Plan de Tareas'!$J56="Completada",2,1),""))</f>
        <v/>
      </c>
      <c r="AE57" s="36" t="str">
        <f>IF(OR($D57="",$E57=""),"",IF(AND($D57&lt;=AE$7+6,$E57&gt;=AE$7),IF('Plan de Tareas'!$J56="Completada",2,1),""))</f>
        <v/>
      </c>
    </row>
    <row r="58" spans="1:31" ht="15" customHeight="1" x14ac:dyDescent="0.3">
      <c r="A58" s="34" t="str">
        <f>IF('Plan de Tareas'!$C57="","",'Plan de Tareas'!$A57)</f>
        <v/>
      </c>
      <c r="B58" s="20" t="str">
        <f>IF('Plan de Tareas'!$C57="","",'Plan de Tareas'!$C57)</f>
        <v/>
      </c>
      <c r="C58" s="20" t="str">
        <f>IF('Plan de Tareas'!$C57="","",'Plan de Tareas'!$D57)</f>
        <v/>
      </c>
      <c r="D58" s="35" t="str">
        <f>IF('Plan de Tareas'!$F57="","",'Plan de Tareas'!$F57)</f>
        <v/>
      </c>
      <c r="E58" s="35" t="str">
        <f>IF('Plan de Tareas'!$G57="","",'Plan de Tareas'!$G57)</f>
        <v/>
      </c>
      <c r="F58" s="36" t="str">
        <f>IF(OR($D58="",$E58=""),"",IF(AND($D58&lt;=F$7+6,$E58&gt;=F$7),IF('Plan de Tareas'!$J57="Completada",2,1),""))</f>
        <v/>
      </c>
      <c r="G58" s="36" t="str">
        <f>IF(OR($D58="",$E58=""),"",IF(AND($D58&lt;=G$7+6,$E58&gt;=G$7),IF('Plan de Tareas'!$J57="Completada",2,1),""))</f>
        <v/>
      </c>
      <c r="H58" s="36" t="str">
        <f>IF(OR($D58="",$E58=""),"",IF(AND($D58&lt;=H$7+6,$E58&gt;=H$7),IF('Plan de Tareas'!$J57="Completada",2,1),""))</f>
        <v/>
      </c>
      <c r="I58" s="36" t="str">
        <f>IF(OR($D58="",$E58=""),"",IF(AND($D58&lt;=I$7+6,$E58&gt;=I$7),IF('Plan de Tareas'!$J57="Completada",2,1),""))</f>
        <v/>
      </c>
      <c r="J58" s="36" t="str">
        <f>IF(OR($D58="",$E58=""),"",IF(AND($D58&lt;=J$7+6,$E58&gt;=J$7),IF('Plan de Tareas'!$J57="Completada",2,1),""))</f>
        <v/>
      </c>
      <c r="K58" s="36" t="str">
        <f>IF(OR($D58="",$E58=""),"",IF(AND($D58&lt;=K$7+6,$E58&gt;=K$7),IF('Plan de Tareas'!$J57="Completada",2,1),""))</f>
        <v/>
      </c>
      <c r="L58" s="36" t="str">
        <f>IF(OR($D58="",$E58=""),"",IF(AND($D58&lt;=L$7+6,$E58&gt;=L$7),IF('Plan de Tareas'!$J57="Completada",2,1),""))</f>
        <v/>
      </c>
      <c r="M58" s="36" t="str">
        <f>IF(OR($D58="",$E58=""),"",IF(AND($D58&lt;=M$7+6,$E58&gt;=M$7),IF('Plan de Tareas'!$J57="Completada",2,1),""))</f>
        <v/>
      </c>
      <c r="N58" s="36" t="str">
        <f>IF(OR($D58="",$E58=""),"",IF(AND($D58&lt;=N$7+6,$E58&gt;=N$7),IF('Plan de Tareas'!$J57="Completada",2,1),""))</f>
        <v/>
      </c>
      <c r="O58" s="36" t="str">
        <f>IF(OR($D58="",$E58=""),"",IF(AND($D58&lt;=O$7+6,$E58&gt;=O$7),IF('Plan de Tareas'!$J57="Completada",2,1),""))</f>
        <v/>
      </c>
      <c r="P58" s="36" t="str">
        <f>IF(OR($D58="",$E58=""),"",IF(AND($D58&lt;=P$7+6,$E58&gt;=P$7),IF('Plan de Tareas'!$J57="Completada",2,1),""))</f>
        <v/>
      </c>
      <c r="Q58" s="36" t="str">
        <f>IF(OR($D58="",$E58=""),"",IF(AND($D58&lt;=Q$7+6,$E58&gt;=Q$7),IF('Plan de Tareas'!$J57="Completada",2,1),""))</f>
        <v/>
      </c>
      <c r="R58" s="36" t="str">
        <f>IF(OR($D58="",$E58=""),"",IF(AND($D58&lt;=R$7+6,$E58&gt;=R$7),IF('Plan de Tareas'!$J57="Completada",2,1),""))</f>
        <v/>
      </c>
      <c r="S58" s="36" t="str">
        <f>IF(OR($D58="",$E58=""),"",IF(AND($D58&lt;=S$7+6,$E58&gt;=S$7),IF('Plan de Tareas'!$J57="Completada",2,1),""))</f>
        <v/>
      </c>
      <c r="T58" s="36" t="str">
        <f>IF(OR($D58="",$E58=""),"",IF(AND($D58&lt;=T$7+6,$E58&gt;=T$7),IF('Plan de Tareas'!$J57="Completada",2,1),""))</f>
        <v/>
      </c>
      <c r="U58" s="36" t="str">
        <f>IF(OR($D58="",$E58=""),"",IF(AND($D58&lt;=U$7+6,$E58&gt;=U$7),IF('Plan de Tareas'!$J57="Completada",2,1),""))</f>
        <v/>
      </c>
      <c r="V58" s="36" t="str">
        <f>IF(OR($D58="",$E58=""),"",IF(AND($D58&lt;=V$7+6,$E58&gt;=V$7),IF('Plan de Tareas'!$J57="Completada",2,1),""))</f>
        <v/>
      </c>
      <c r="W58" s="36" t="str">
        <f>IF(OR($D58="",$E58=""),"",IF(AND($D58&lt;=W$7+6,$E58&gt;=W$7),IF('Plan de Tareas'!$J57="Completada",2,1),""))</f>
        <v/>
      </c>
      <c r="X58" s="36" t="str">
        <f>IF(OR($D58="",$E58=""),"",IF(AND($D58&lt;=X$7+6,$E58&gt;=X$7),IF('Plan de Tareas'!$J57="Completada",2,1),""))</f>
        <v/>
      </c>
      <c r="Y58" s="36" t="str">
        <f>IF(OR($D58="",$E58=""),"",IF(AND($D58&lt;=Y$7+6,$E58&gt;=Y$7),IF('Plan de Tareas'!$J57="Completada",2,1),""))</f>
        <v/>
      </c>
      <c r="Z58" s="36" t="str">
        <f>IF(OR($D58="",$E58=""),"",IF(AND($D58&lt;=Z$7+6,$E58&gt;=Z$7),IF('Plan de Tareas'!$J57="Completada",2,1),""))</f>
        <v/>
      </c>
      <c r="AA58" s="36" t="str">
        <f>IF(OR($D58="",$E58=""),"",IF(AND($D58&lt;=AA$7+6,$E58&gt;=AA$7),IF('Plan de Tareas'!$J57="Completada",2,1),""))</f>
        <v/>
      </c>
      <c r="AB58" s="36" t="str">
        <f>IF(OR($D58="",$E58=""),"",IF(AND($D58&lt;=AB$7+6,$E58&gt;=AB$7),IF('Plan de Tareas'!$J57="Completada",2,1),""))</f>
        <v/>
      </c>
      <c r="AC58" s="36" t="str">
        <f>IF(OR($D58="",$E58=""),"",IF(AND($D58&lt;=AC$7+6,$E58&gt;=AC$7),IF('Plan de Tareas'!$J57="Completada",2,1),""))</f>
        <v/>
      </c>
      <c r="AD58" s="36" t="str">
        <f>IF(OR($D58="",$E58=""),"",IF(AND($D58&lt;=AD$7+6,$E58&gt;=AD$7),IF('Plan de Tareas'!$J57="Completada",2,1),""))</f>
        <v/>
      </c>
      <c r="AE58" s="36" t="str">
        <f>IF(OR($D58="",$E58=""),"",IF(AND($D58&lt;=AE$7+6,$E58&gt;=AE$7),IF('Plan de Tareas'!$J57="Completada",2,1),""))</f>
        <v/>
      </c>
    </row>
    <row r="59" spans="1:31" ht="15" customHeight="1" x14ac:dyDescent="0.3">
      <c r="A59" s="37" t="str">
        <f>IF('Plan de Tareas'!$C58="","",'Plan de Tareas'!$A58)</f>
        <v/>
      </c>
      <c r="B59" s="26" t="str">
        <f>IF('Plan de Tareas'!$C58="","",'Plan de Tareas'!$C58)</f>
        <v/>
      </c>
      <c r="C59" s="26" t="str">
        <f>IF('Plan de Tareas'!$C58="","",'Plan de Tareas'!$D58)</f>
        <v/>
      </c>
      <c r="D59" s="38" t="str">
        <f>IF('Plan de Tareas'!$F58="","",'Plan de Tareas'!$F58)</f>
        <v/>
      </c>
      <c r="E59" s="38" t="str">
        <f>IF('Plan de Tareas'!$G58="","",'Plan de Tareas'!$G58)</f>
        <v/>
      </c>
      <c r="F59" s="36" t="str">
        <f>IF(OR($D59="",$E59=""),"",IF(AND($D59&lt;=F$7+6,$E59&gt;=F$7),IF('Plan de Tareas'!$J58="Completada",2,1),""))</f>
        <v/>
      </c>
      <c r="G59" s="36" t="str">
        <f>IF(OR($D59="",$E59=""),"",IF(AND($D59&lt;=G$7+6,$E59&gt;=G$7),IF('Plan de Tareas'!$J58="Completada",2,1),""))</f>
        <v/>
      </c>
      <c r="H59" s="36" t="str">
        <f>IF(OR($D59="",$E59=""),"",IF(AND($D59&lt;=H$7+6,$E59&gt;=H$7),IF('Plan de Tareas'!$J58="Completada",2,1),""))</f>
        <v/>
      </c>
      <c r="I59" s="36" t="str">
        <f>IF(OR($D59="",$E59=""),"",IF(AND($D59&lt;=I$7+6,$E59&gt;=I$7),IF('Plan de Tareas'!$J58="Completada",2,1),""))</f>
        <v/>
      </c>
      <c r="J59" s="36" t="str">
        <f>IF(OR($D59="",$E59=""),"",IF(AND($D59&lt;=J$7+6,$E59&gt;=J$7),IF('Plan de Tareas'!$J58="Completada",2,1),""))</f>
        <v/>
      </c>
      <c r="K59" s="36" t="str">
        <f>IF(OR($D59="",$E59=""),"",IF(AND($D59&lt;=K$7+6,$E59&gt;=K$7),IF('Plan de Tareas'!$J58="Completada",2,1),""))</f>
        <v/>
      </c>
      <c r="L59" s="36" t="str">
        <f>IF(OR($D59="",$E59=""),"",IF(AND($D59&lt;=L$7+6,$E59&gt;=L$7),IF('Plan de Tareas'!$J58="Completada",2,1),""))</f>
        <v/>
      </c>
      <c r="M59" s="36" t="str">
        <f>IF(OR($D59="",$E59=""),"",IF(AND($D59&lt;=M$7+6,$E59&gt;=M$7),IF('Plan de Tareas'!$J58="Completada",2,1),""))</f>
        <v/>
      </c>
      <c r="N59" s="36" t="str">
        <f>IF(OR($D59="",$E59=""),"",IF(AND($D59&lt;=N$7+6,$E59&gt;=N$7),IF('Plan de Tareas'!$J58="Completada",2,1),""))</f>
        <v/>
      </c>
      <c r="O59" s="36" t="str">
        <f>IF(OR($D59="",$E59=""),"",IF(AND($D59&lt;=O$7+6,$E59&gt;=O$7),IF('Plan de Tareas'!$J58="Completada",2,1),""))</f>
        <v/>
      </c>
      <c r="P59" s="36" t="str">
        <f>IF(OR($D59="",$E59=""),"",IF(AND($D59&lt;=P$7+6,$E59&gt;=P$7),IF('Plan de Tareas'!$J58="Completada",2,1),""))</f>
        <v/>
      </c>
      <c r="Q59" s="36" t="str">
        <f>IF(OR($D59="",$E59=""),"",IF(AND($D59&lt;=Q$7+6,$E59&gt;=Q$7),IF('Plan de Tareas'!$J58="Completada",2,1),""))</f>
        <v/>
      </c>
      <c r="R59" s="36" t="str">
        <f>IF(OR($D59="",$E59=""),"",IF(AND($D59&lt;=R$7+6,$E59&gt;=R$7),IF('Plan de Tareas'!$J58="Completada",2,1),""))</f>
        <v/>
      </c>
      <c r="S59" s="36" t="str">
        <f>IF(OR($D59="",$E59=""),"",IF(AND($D59&lt;=S$7+6,$E59&gt;=S$7),IF('Plan de Tareas'!$J58="Completada",2,1),""))</f>
        <v/>
      </c>
      <c r="T59" s="36" t="str">
        <f>IF(OR($D59="",$E59=""),"",IF(AND($D59&lt;=T$7+6,$E59&gt;=T$7),IF('Plan de Tareas'!$J58="Completada",2,1),""))</f>
        <v/>
      </c>
      <c r="U59" s="36" t="str">
        <f>IF(OR($D59="",$E59=""),"",IF(AND($D59&lt;=U$7+6,$E59&gt;=U$7),IF('Plan de Tareas'!$J58="Completada",2,1),""))</f>
        <v/>
      </c>
      <c r="V59" s="36" t="str">
        <f>IF(OR($D59="",$E59=""),"",IF(AND($D59&lt;=V$7+6,$E59&gt;=V$7),IF('Plan de Tareas'!$J58="Completada",2,1),""))</f>
        <v/>
      </c>
      <c r="W59" s="36" t="str">
        <f>IF(OR($D59="",$E59=""),"",IF(AND($D59&lt;=W$7+6,$E59&gt;=W$7),IF('Plan de Tareas'!$J58="Completada",2,1),""))</f>
        <v/>
      </c>
      <c r="X59" s="36" t="str">
        <f>IF(OR($D59="",$E59=""),"",IF(AND($D59&lt;=X$7+6,$E59&gt;=X$7),IF('Plan de Tareas'!$J58="Completada",2,1),""))</f>
        <v/>
      </c>
      <c r="Y59" s="36" t="str">
        <f>IF(OR($D59="",$E59=""),"",IF(AND($D59&lt;=Y$7+6,$E59&gt;=Y$7),IF('Plan de Tareas'!$J58="Completada",2,1),""))</f>
        <v/>
      </c>
      <c r="Z59" s="36" t="str">
        <f>IF(OR($D59="",$E59=""),"",IF(AND($D59&lt;=Z$7+6,$E59&gt;=Z$7),IF('Plan de Tareas'!$J58="Completada",2,1),""))</f>
        <v/>
      </c>
      <c r="AA59" s="36" t="str">
        <f>IF(OR($D59="",$E59=""),"",IF(AND($D59&lt;=AA$7+6,$E59&gt;=AA$7),IF('Plan de Tareas'!$J58="Completada",2,1),""))</f>
        <v/>
      </c>
      <c r="AB59" s="36" t="str">
        <f>IF(OR($D59="",$E59=""),"",IF(AND($D59&lt;=AB$7+6,$E59&gt;=AB$7),IF('Plan de Tareas'!$J58="Completada",2,1),""))</f>
        <v/>
      </c>
      <c r="AC59" s="36" t="str">
        <f>IF(OR($D59="",$E59=""),"",IF(AND($D59&lt;=AC$7+6,$E59&gt;=AC$7),IF('Plan de Tareas'!$J58="Completada",2,1),""))</f>
        <v/>
      </c>
      <c r="AD59" s="36" t="str">
        <f>IF(OR($D59="",$E59=""),"",IF(AND($D59&lt;=AD$7+6,$E59&gt;=AD$7),IF('Plan de Tareas'!$J58="Completada",2,1),""))</f>
        <v/>
      </c>
      <c r="AE59" s="36" t="str">
        <f>IF(OR($D59="",$E59=""),"",IF(AND($D59&lt;=AE$7+6,$E59&gt;=AE$7),IF('Plan de Tareas'!$J58="Completada",2,1),""))</f>
        <v/>
      </c>
    </row>
    <row r="60" spans="1:31" ht="15" customHeight="1" x14ac:dyDescent="0.3">
      <c r="A60" s="34" t="str">
        <f>IF('Plan de Tareas'!$C59="","",'Plan de Tareas'!$A59)</f>
        <v/>
      </c>
      <c r="B60" s="20" t="str">
        <f>IF('Plan de Tareas'!$C59="","",'Plan de Tareas'!$C59)</f>
        <v/>
      </c>
      <c r="C60" s="20" t="str">
        <f>IF('Plan de Tareas'!$C59="","",'Plan de Tareas'!$D59)</f>
        <v/>
      </c>
      <c r="D60" s="35" t="str">
        <f>IF('Plan de Tareas'!$F59="","",'Plan de Tareas'!$F59)</f>
        <v/>
      </c>
      <c r="E60" s="35" t="str">
        <f>IF('Plan de Tareas'!$G59="","",'Plan de Tareas'!$G59)</f>
        <v/>
      </c>
      <c r="F60" s="36" t="str">
        <f>IF(OR($D60="",$E60=""),"",IF(AND($D60&lt;=F$7+6,$E60&gt;=F$7),IF('Plan de Tareas'!$J59="Completada",2,1),""))</f>
        <v/>
      </c>
      <c r="G60" s="36" t="str">
        <f>IF(OR($D60="",$E60=""),"",IF(AND($D60&lt;=G$7+6,$E60&gt;=G$7),IF('Plan de Tareas'!$J59="Completada",2,1),""))</f>
        <v/>
      </c>
      <c r="H60" s="36" t="str">
        <f>IF(OR($D60="",$E60=""),"",IF(AND($D60&lt;=H$7+6,$E60&gt;=H$7),IF('Plan de Tareas'!$J59="Completada",2,1),""))</f>
        <v/>
      </c>
      <c r="I60" s="36" t="str">
        <f>IF(OR($D60="",$E60=""),"",IF(AND($D60&lt;=I$7+6,$E60&gt;=I$7),IF('Plan de Tareas'!$J59="Completada",2,1),""))</f>
        <v/>
      </c>
      <c r="J60" s="36" t="str">
        <f>IF(OR($D60="",$E60=""),"",IF(AND($D60&lt;=J$7+6,$E60&gt;=J$7),IF('Plan de Tareas'!$J59="Completada",2,1),""))</f>
        <v/>
      </c>
      <c r="K60" s="36" t="str">
        <f>IF(OR($D60="",$E60=""),"",IF(AND($D60&lt;=K$7+6,$E60&gt;=K$7),IF('Plan de Tareas'!$J59="Completada",2,1),""))</f>
        <v/>
      </c>
      <c r="L60" s="36" t="str">
        <f>IF(OR($D60="",$E60=""),"",IF(AND($D60&lt;=L$7+6,$E60&gt;=L$7),IF('Plan de Tareas'!$J59="Completada",2,1),""))</f>
        <v/>
      </c>
      <c r="M60" s="36" t="str">
        <f>IF(OR($D60="",$E60=""),"",IF(AND($D60&lt;=M$7+6,$E60&gt;=M$7),IF('Plan de Tareas'!$J59="Completada",2,1),""))</f>
        <v/>
      </c>
      <c r="N60" s="36" t="str">
        <f>IF(OR($D60="",$E60=""),"",IF(AND($D60&lt;=N$7+6,$E60&gt;=N$7),IF('Plan de Tareas'!$J59="Completada",2,1),""))</f>
        <v/>
      </c>
      <c r="O60" s="36" t="str">
        <f>IF(OR($D60="",$E60=""),"",IF(AND($D60&lt;=O$7+6,$E60&gt;=O$7),IF('Plan de Tareas'!$J59="Completada",2,1),""))</f>
        <v/>
      </c>
      <c r="P60" s="36" t="str">
        <f>IF(OR($D60="",$E60=""),"",IF(AND($D60&lt;=P$7+6,$E60&gt;=P$7),IF('Plan de Tareas'!$J59="Completada",2,1),""))</f>
        <v/>
      </c>
      <c r="Q60" s="36" t="str">
        <f>IF(OR($D60="",$E60=""),"",IF(AND($D60&lt;=Q$7+6,$E60&gt;=Q$7),IF('Plan de Tareas'!$J59="Completada",2,1),""))</f>
        <v/>
      </c>
      <c r="R60" s="36" t="str">
        <f>IF(OR($D60="",$E60=""),"",IF(AND($D60&lt;=R$7+6,$E60&gt;=R$7),IF('Plan de Tareas'!$J59="Completada",2,1),""))</f>
        <v/>
      </c>
      <c r="S60" s="36" t="str">
        <f>IF(OR($D60="",$E60=""),"",IF(AND($D60&lt;=S$7+6,$E60&gt;=S$7),IF('Plan de Tareas'!$J59="Completada",2,1),""))</f>
        <v/>
      </c>
      <c r="T60" s="36" t="str">
        <f>IF(OR($D60="",$E60=""),"",IF(AND($D60&lt;=T$7+6,$E60&gt;=T$7),IF('Plan de Tareas'!$J59="Completada",2,1),""))</f>
        <v/>
      </c>
      <c r="U60" s="36" t="str">
        <f>IF(OR($D60="",$E60=""),"",IF(AND($D60&lt;=U$7+6,$E60&gt;=U$7),IF('Plan de Tareas'!$J59="Completada",2,1),""))</f>
        <v/>
      </c>
      <c r="V60" s="36" t="str">
        <f>IF(OR($D60="",$E60=""),"",IF(AND($D60&lt;=V$7+6,$E60&gt;=V$7),IF('Plan de Tareas'!$J59="Completada",2,1),""))</f>
        <v/>
      </c>
      <c r="W60" s="36" t="str">
        <f>IF(OR($D60="",$E60=""),"",IF(AND($D60&lt;=W$7+6,$E60&gt;=W$7),IF('Plan de Tareas'!$J59="Completada",2,1),""))</f>
        <v/>
      </c>
      <c r="X60" s="36" t="str">
        <f>IF(OR($D60="",$E60=""),"",IF(AND($D60&lt;=X$7+6,$E60&gt;=X$7),IF('Plan de Tareas'!$J59="Completada",2,1),""))</f>
        <v/>
      </c>
      <c r="Y60" s="36" t="str">
        <f>IF(OR($D60="",$E60=""),"",IF(AND($D60&lt;=Y$7+6,$E60&gt;=Y$7),IF('Plan de Tareas'!$J59="Completada",2,1),""))</f>
        <v/>
      </c>
      <c r="Z60" s="36" t="str">
        <f>IF(OR($D60="",$E60=""),"",IF(AND($D60&lt;=Z$7+6,$E60&gt;=Z$7),IF('Plan de Tareas'!$J59="Completada",2,1),""))</f>
        <v/>
      </c>
      <c r="AA60" s="36" t="str">
        <f>IF(OR($D60="",$E60=""),"",IF(AND($D60&lt;=AA$7+6,$E60&gt;=AA$7),IF('Plan de Tareas'!$J59="Completada",2,1),""))</f>
        <v/>
      </c>
      <c r="AB60" s="36" t="str">
        <f>IF(OR($D60="",$E60=""),"",IF(AND($D60&lt;=AB$7+6,$E60&gt;=AB$7),IF('Plan de Tareas'!$J59="Completada",2,1),""))</f>
        <v/>
      </c>
      <c r="AC60" s="36" t="str">
        <f>IF(OR($D60="",$E60=""),"",IF(AND($D60&lt;=AC$7+6,$E60&gt;=AC$7),IF('Plan de Tareas'!$J59="Completada",2,1),""))</f>
        <v/>
      </c>
      <c r="AD60" s="36" t="str">
        <f>IF(OR($D60="",$E60=""),"",IF(AND($D60&lt;=AD$7+6,$E60&gt;=AD$7),IF('Plan de Tareas'!$J59="Completada",2,1),""))</f>
        <v/>
      </c>
      <c r="AE60" s="36" t="str">
        <f>IF(OR($D60="",$E60=""),"",IF(AND($D60&lt;=AE$7+6,$E60&gt;=AE$7),IF('Plan de Tareas'!$J59="Completada",2,1),""))</f>
        <v/>
      </c>
    </row>
    <row r="61" spans="1:31" ht="15" customHeight="1" x14ac:dyDescent="0.3">
      <c r="A61" s="37" t="str">
        <f>IF('Plan de Tareas'!$C60="","",'Plan de Tareas'!$A60)</f>
        <v/>
      </c>
      <c r="B61" s="26" t="str">
        <f>IF('Plan de Tareas'!$C60="","",'Plan de Tareas'!$C60)</f>
        <v/>
      </c>
      <c r="C61" s="26" t="str">
        <f>IF('Plan de Tareas'!$C60="","",'Plan de Tareas'!$D60)</f>
        <v/>
      </c>
      <c r="D61" s="38" t="str">
        <f>IF('Plan de Tareas'!$F60="","",'Plan de Tareas'!$F60)</f>
        <v/>
      </c>
      <c r="E61" s="38" t="str">
        <f>IF('Plan de Tareas'!$G60="","",'Plan de Tareas'!$G60)</f>
        <v/>
      </c>
      <c r="F61" s="36" t="str">
        <f>IF(OR($D61="",$E61=""),"",IF(AND($D61&lt;=F$7+6,$E61&gt;=F$7),IF('Plan de Tareas'!$J60="Completada",2,1),""))</f>
        <v/>
      </c>
      <c r="G61" s="36" t="str">
        <f>IF(OR($D61="",$E61=""),"",IF(AND($D61&lt;=G$7+6,$E61&gt;=G$7),IF('Plan de Tareas'!$J60="Completada",2,1),""))</f>
        <v/>
      </c>
      <c r="H61" s="36" t="str">
        <f>IF(OR($D61="",$E61=""),"",IF(AND($D61&lt;=H$7+6,$E61&gt;=H$7),IF('Plan de Tareas'!$J60="Completada",2,1),""))</f>
        <v/>
      </c>
      <c r="I61" s="36" t="str">
        <f>IF(OR($D61="",$E61=""),"",IF(AND($D61&lt;=I$7+6,$E61&gt;=I$7),IF('Plan de Tareas'!$J60="Completada",2,1),""))</f>
        <v/>
      </c>
      <c r="J61" s="36" t="str">
        <f>IF(OR($D61="",$E61=""),"",IF(AND($D61&lt;=J$7+6,$E61&gt;=J$7),IF('Plan de Tareas'!$J60="Completada",2,1),""))</f>
        <v/>
      </c>
      <c r="K61" s="36" t="str">
        <f>IF(OR($D61="",$E61=""),"",IF(AND($D61&lt;=K$7+6,$E61&gt;=K$7),IF('Plan de Tareas'!$J60="Completada",2,1),""))</f>
        <v/>
      </c>
      <c r="L61" s="36" t="str">
        <f>IF(OR($D61="",$E61=""),"",IF(AND($D61&lt;=L$7+6,$E61&gt;=L$7),IF('Plan de Tareas'!$J60="Completada",2,1),""))</f>
        <v/>
      </c>
      <c r="M61" s="36" t="str">
        <f>IF(OR($D61="",$E61=""),"",IF(AND($D61&lt;=M$7+6,$E61&gt;=M$7),IF('Plan de Tareas'!$J60="Completada",2,1),""))</f>
        <v/>
      </c>
      <c r="N61" s="36" t="str">
        <f>IF(OR($D61="",$E61=""),"",IF(AND($D61&lt;=N$7+6,$E61&gt;=N$7),IF('Plan de Tareas'!$J60="Completada",2,1),""))</f>
        <v/>
      </c>
      <c r="O61" s="36" t="str">
        <f>IF(OR($D61="",$E61=""),"",IF(AND($D61&lt;=O$7+6,$E61&gt;=O$7),IF('Plan de Tareas'!$J60="Completada",2,1),""))</f>
        <v/>
      </c>
      <c r="P61" s="36" t="str">
        <f>IF(OR($D61="",$E61=""),"",IF(AND($D61&lt;=P$7+6,$E61&gt;=P$7),IF('Plan de Tareas'!$J60="Completada",2,1),""))</f>
        <v/>
      </c>
      <c r="Q61" s="36" t="str">
        <f>IF(OR($D61="",$E61=""),"",IF(AND($D61&lt;=Q$7+6,$E61&gt;=Q$7),IF('Plan de Tareas'!$J60="Completada",2,1),""))</f>
        <v/>
      </c>
      <c r="R61" s="36" t="str">
        <f>IF(OR($D61="",$E61=""),"",IF(AND($D61&lt;=R$7+6,$E61&gt;=R$7),IF('Plan de Tareas'!$J60="Completada",2,1),""))</f>
        <v/>
      </c>
      <c r="S61" s="36" t="str">
        <f>IF(OR($D61="",$E61=""),"",IF(AND($D61&lt;=S$7+6,$E61&gt;=S$7),IF('Plan de Tareas'!$J60="Completada",2,1),""))</f>
        <v/>
      </c>
      <c r="T61" s="36" t="str">
        <f>IF(OR($D61="",$E61=""),"",IF(AND($D61&lt;=T$7+6,$E61&gt;=T$7),IF('Plan de Tareas'!$J60="Completada",2,1),""))</f>
        <v/>
      </c>
      <c r="U61" s="36" t="str">
        <f>IF(OR($D61="",$E61=""),"",IF(AND($D61&lt;=U$7+6,$E61&gt;=U$7),IF('Plan de Tareas'!$J60="Completada",2,1),""))</f>
        <v/>
      </c>
      <c r="V61" s="36" t="str">
        <f>IF(OR($D61="",$E61=""),"",IF(AND($D61&lt;=V$7+6,$E61&gt;=V$7),IF('Plan de Tareas'!$J60="Completada",2,1),""))</f>
        <v/>
      </c>
      <c r="W61" s="36" t="str">
        <f>IF(OR($D61="",$E61=""),"",IF(AND($D61&lt;=W$7+6,$E61&gt;=W$7),IF('Plan de Tareas'!$J60="Completada",2,1),""))</f>
        <v/>
      </c>
      <c r="X61" s="36" t="str">
        <f>IF(OR($D61="",$E61=""),"",IF(AND($D61&lt;=X$7+6,$E61&gt;=X$7),IF('Plan de Tareas'!$J60="Completada",2,1),""))</f>
        <v/>
      </c>
      <c r="Y61" s="36" t="str">
        <f>IF(OR($D61="",$E61=""),"",IF(AND($D61&lt;=Y$7+6,$E61&gt;=Y$7),IF('Plan de Tareas'!$J60="Completada",2,1),""))</f>
        <v/>
      </c>
      <c r="Z61" s="36" t="str">
        <f>IF(OR($D61="",$E61=""),"",IF(AND($D61&lt;=Z$7+6,$E61&gt;=Z$7),IF('Plan de Tareas'!$J60="Completada",2,1),""))</f>
        <v/>
      </c>
      <c r="AA61" s="36" t="str">
        <f>IF(OR($D61="",$E61=""),"",IF(AND($D61&lt;=AA$7+6,$E61&gt;=AA$7),IF('Plan de Tareas'!$J60="Completada",2,1),""))</f>
        <v/>
      </c>
      <c r="AB61" s="36" t="str">
        <f>IF(OR($D61="",$E61=""),"",IF(AND($D61&lt;=AB$7+6,$E61&gt;=AB$7),IF('Plan de Tareas'!$J60="Completada",2,1),""))</f>
        <v/>
      </c>
      <c r="AC61" s="36" t="str">
        <f>IF(OR($D61="",$E61=""),"",IF(AND($D61&lt;=AC$7+6,$E61&gt;=AC$7),IF('Plan de Tareas'!$J60="Completada",2,1),""))</f>
        <v/>
      </c>
      <c r="AD61" s="36" t="str">
        <f>IF(OR($D61="",$E61=""),"",IF(AND($D61&lt;=AD$7+6,$E61&gt;=AD$7),IF('Plan de Tareas'!$J60="Completada",2,1),""))</f>
        <v/>
      </c>
      <c r="AE61" s="36" t="str">
        <f>IF(OR($D61="",$E61=""),"",IF(AND($D61&lt;=AE$7+6,$E61&gt;=AE$7),IF('Plan de Tareas'!$J60="Completada",2,1),""))</f>
        <v/>
      </c>
    </row>
    <row r="62" spans="1:31" ht="15" customHeight="1" x14ac:dyDescent="0.3">
      <c r="A62" s="34" t="str">
        <f>IF('Plan de Tareas'!$C61="","",'Plan de Tareas'!$A61)</f>
        <v/>
      </c>
      <c r="B62" s="20" t="str">
        <f>IF('Plan de Tareas'!$C61="","",'Plan de Tareas'!$C61)</f>
        <v/>
      </c>
      <c r="C62" s="20" t="str">
        <f>IF('Plan de Tareas'!$C61="","",'Plan de Tareas'!$D61)</f>
        <v/>
      </c>
      <c r="D62" s="35" t="str">
        <f>IF('Plan de Tareas'!$F61="","",'Plan de Tareas'!$F61)</f>
        <v/>
      </c>
      <c r="E62" s="35" t="str">
        <f>IF('Plan de Tareas'!$G61="","",'Plan de Tareas'!$G61)</f>
        <v/>
      </c>
      <c r="F62" s="36" t="str">
        <f>IF(OR($D62="",$E62=""),"",IF(AND($D62&lt;=F$7+6,$E62&gt;=F$7),IF('Plan de Tareas'!$J61="Completada",2,1),""))</f>
        <v/>
      </c>
      <c r="G62" s="36" t="str">
        <f>IF(OR($D62="",$E62=""),"",IF(AND($D62&lt;=G$7+6,$E62&gt;=G$7),IF('Plan de Tareas'!$J61="Completada",2,1),""))</f>
        <v/>
      </c>
      <c r="H62" s="36" t="str">
        <f>IF(OR($D62="",$E62=""),"",IF(AND($D62&lt;=H$7+6,$E62&gt;=H$7),IF('Plan de Tareas'!$J61="Completada",2,1),""))</f>
        <v/>
      </c>
      <c r="I62" s="36" t="str">
        <f>IF(OR($D62="",$E62=""),"",IF(AND($D62&lt;=I$7+6,$E62&gt;=I$7),IF('Plan de Tareas'!$J61="Completada",2,1),""))</f>
        <v/>
      </c>
      <c r="J62" s="36" t="str">
        <f>IF(OR($D62="",$E62=""),"",IF(AND($D62&lt;=J$7+6,$E62&gt;=J$7),IF('Plan de Tareas'!$J61="Completada",2,1),""))</f>
        <v/>
      </c>
      <c r="K62" s="36" t="str">
        <f>IF(OR($D62="",$E62=""),"",IF(AND($D62&lt;=K$7+6,$E62&gt;=K$7),IF('Plan de Tareas'!$J61="Completada",2,1),""))</f>
        <v/>
      </c>
      <c r="L62" s="36" t="str">
        <f>IF(OR($D62="",$E62=""),"",IF(AND($D62&lt;=L$7+6,$E62&gt;=L$7),IF('Plan de Tareas'!$J61="Completada",2,1),""))</f>
        <v/>
      </c>
      <c r="M62" s="36" t="str">
        <f>IF(OR($D62="",$E62=""),"",IF(AND($D62&lt;=M$7+6,$E62&gt;=M$7),IF('Plan de Tareas'!$J61="Completada",2,1),""))</f>
        <v/>
      </c>
      <c r="N62" s="36" t="str">
        <f>IF(OR($D62="",$E62=""),"",IF(AND($D62&lt;=N$7+6,$E62&gt;=N$7),IF('Plan de Tareas'!$J61="Completada",2,1),""))</f>
        <v/>
      </c>
      <c r="O62" s="36" t="str">
        <f>IF(OR($D62="",$E62=""),"",IF(AND($D62&lt;=O$7+6,$E62&gt;=O$7),IF('Plan de Tareas'!$J61="Completada",2,1),""))</f>
        <v/>
      </c>
      <c r="P62" s="36" t="str">
        <f>IF(OR($D62="",$E62=""),"",IF(AND($D62&lt;=P$7+6,$E62&gt;=P$7),IF('Plan de Tareas'!$J61="Completada",2,1),""))</f>
        <v/>
      </c>
      <c r="Q62" s="36" t="str">
        <f>IF(OR($D62="",$E62=""),"",IF(AND($D62&lt;=Q$7+6,$E62&gt;=Q$7),IF('Plan de Tareas'!$J61="Completada",2,1),""))</f>
        <v/>
      </c>
      <c r="R62" s="36" t="str">
        <f>IF(OR($D62="",$E62=""),"",IF(AND($D62&lt;=R$7+6,$E62&gt;=R$7),IF('Plan de Tareas'!$J61="Completada",2,1),""))</f>
        <v/>
      </c>
      <c r="S62" s="36" t="str">
        <f>IF(OR($D62="",$E62=""),"",IF(AND($D62&lt;=S$7+6,$E62&gt;=S$7),IF('Plan de Tareas'!$J61="Completada",2,1),""))</f>
        <v/>
      </c>
      <c r="T62" s="36" t="str">
        <f>IF(OR($D62="",$E62=""),"",IF(AND($D62&lt;=T$7+6,$E62&gt;=T$7),IF('Plan de Tareas'!$J61="Completada",2,1),""))</f>
        <v/>
      </c>
      <c r="U62" s="36" t="str">
        <f>IF(OR($D62="",$E62=""),"",IF(AND($D62&lt;=U$7+6,$E62&gt;=U$7),IF('Plan de Tareas'!$J61="Completada",2,1),""))</f>
        <v/>
      </c>
      <c r="V62" s="36" t="str">
        <f>IF(OR($D62="",$E62=""),"",IF(AND($D62&lt;=V$7+6,$E62&gt;=V$7),IF('Plan de Tareas'!$J61="Completada",2,1),""))</f>
        <v/>
      </c>
      <c r="W62" s="36" t="str">
        <f>IF(OR($D62="",$E62=""),"",IF(AND($D62&lt;=W$7+6,$E62&gt;=W$7),IF('Plan de Tareas'!$J61="Completada",2,1),""))</f>
        <v/>
      </c>
      <c r="X62" s="36" t="str">
        <f>IF(OR($D62="",$E62=""),"",IF(AND($D62&lt;=X$7+6,$E62&gt;=X$7),IF('Plan de Tareas'!$J61="Completada",2,1),""))</f>
        <v/>
      </c>
      <c r="Y62" s="36" t="str">
        <f>IF(OR($D62="",$E62=""),"",IF(AND($D62&lt;=Y$7+6,$E62&gt;=Y$7),IF('Plan de Tareas'!$J61="Completada",2,1),""))</f>
        <v/>
      </c>
      <c r="Z62" s="36" t="str">
        <f>IF(OR($D62="",$E62=""),"",IF(AND($D62&lt;=Z$7+6,$E62&gt;=Z$7),IF('Plan de Tareas'!$J61="Completada",2,1),""))</f>
        <v/>
      </c>
      <c r="AA62" s="36" t="str">
        <f>IF(OR($D62="",$E62=""),"",IF(AND($D62&lt;=AA$7+6,$E62&gt;=AA$7),IF('Plan de Tareas'!$J61="Completada",2,1),""))</f>
        <v/>
      </c>
      <c r="AB62" s="36" t="str">
        <f>IF(OR($D62="",$E62=""),"",IF(AND($D62&lt;=AB$7+6,$E62&gt;=AB$7),IF('Plan de Tareas'!$J61="Completada",2,1),""))</f>
        <v/>
      </c>
      <c r="AC62" s="36" t="str">
        <f>IF(OR($D62="",$E62=""),"",IF(AND($D62&lt;=AC$7+6,$E62&gt;=AC$7),IF('Plan de Tareas'!$J61="Completada",2,1),""))</f>
        <v/>
      </c>
      <c r="AD62" s="36" t="str">
        <f>IF(OR($D62="",$E62=""),"",IF(AND($D62&lt;=AD$7+6,$E62&gt;=AD$7),IF('Plan de Tareas'!$J61="Completada",2,1),""))</f>
        <v/>
      </c>
      <c r="AE62" s="36" t="str">
        <f>IF(OR($D62="",$E62=""),"",IF(AND($D62&lt;=AE$7+6,$E62&gt;=AE$7),IF('Plan de Tareas'!$J61="Completada",2,1),""))</f>
        <v/>
      </c>
    </row>
    <row r="63" spans="1:31" ht="15" customHeight="1" x14ac:dyDescent="0.3">
      <c r="A63" s="37" t="str">
        <f>IF('Plan de Tareas'!$C62="","",'Plan de Tareas'!$A62)</f>
        <v/>
      </c>
      <c r="B63" s="26" t="str">
        <f>IF('Plan de Tareas'!$C62="","",'Plan de Tareas'!$C62)</f>
        <v/>
      </c>
      <c r="C63" s="26" t="str">
        <f>IF('Plan de Tareas'!$C62="","",'Plan de Tareas'!$D62)</f>
        <v/>
      </c>
      <c r="D63" s="38" t="str">
        <f>IF('Plan de Tareas'!$F62="","",'Plan de Tareas'!$F62)</f>
        <v/>
      </c>
      <c r="E63" s="38" t="str">
        <f>IF('Plan de Tareas'!$G62="","",'Plan de Tareas'!$G62)</f>
        <v/>
      </c>
      <c r="F63" s="36" t="str">
        <f>IF(OR($D63="",$E63=""),"",IF(AND($D63&lt;=F$7+6,$E63&gt;=F$7),IF('Plan de Tareas'!$J62="Completada",2,1),""))</f>
        <v/>
      </c>
      <c r="G63" s="36" t="str">
        <f>IF(OR($D63="",$E63=""),"",IF(AND($D63&lt;=G$7+6,$E63&gt;=G$7),IF('Plan de Tareas'!$J62="Completada",2,1),""))</f>
        <v/>
      </c>
      <c r="H63" s="36" t="str">
        <f>IF(OR($D63="",$E63=""),"",IF(AND($D63&lt;=H$7+6,$E63&gt;=H$7),IF('Plan de Tareas'!$J62="Completada",2,1),""))</f>
        <v/>
      </c>
      <c r="I63" s="36" t="str">
        <f>IF(OR($D63="",$E63=""),"",IF(AND($D63&lt;=I$7+6,$E63&gt;=I$7),IF('Plan de Tareas'!$J62="Completada",2,1),""))</f>
        <v/>
      </c>
      <c r="J63" s="36" t="str">
        <f>IF(OR($D63="",$E63=""),"",IF(AND($D63&lt;=J$7+6,$E63&gt;=J$7),IF('Plan de Tareas'!$J62="Completada",2,1),""))</f>
        <v/>
      </c>
      <c r="K63" s="36" t="str">
        <f>IF(OR($D63="",$E63=""),"",IF(AND($D63&lt;=K$7+6,$E63&gt;=K$7),IF('Plan de Tareas'!$J62="Completada",2,1),""))</f>
        <v/>
      </c>
      <c r="L63" s="36" t="str">
        <f>IF(OR($D63="",$E63=""),"",IF(AND($D63&lt;=L$7+6,$E63&gt;=L$7),IF('Plan de Tareas'!$J62="Completada",2,1),""))</f>
        <v/>
      </c>
      <c r="M63" s="36" t="str">
        <f>IF(OR($D63="",$E63=""),"",IF(AND($D63&lt;=M$7+6,$E63&gt;=M$7),IF('Plan de Tareas'!$J62="Completada",2,1),""))</f>
        <v/>
      </c>
      <c r="N63" s="36" t="str">
        <f>IF(OR($D63="",$E63=""),"",IF(AND($D63&lt;=N$7+6,$E63&gt;=N$7),IF('Plan de Tareas'!$J62="Completada",2,1),""))</f>
        <v/>
      </c>
      <c r="O63" s="36" t="str">
        <f>IF(OR($D63="",$E63=""),"",IF(AND($D63&lt;=O$7+6,$E63&gt;=O$7),IF('Plan de Tareas'!$J62="Completada",2,1),""))</f>
        <v/>
      </c>
      <c r="P63" s="36" t="str">
        <f>IF(OR($D63="",$E63=""),"",IF(AND($D63&lt;=P$7+6,$E63&gt;=P$7),IF('Plan de Tareas'!$J62="Completada",2,1),""))</f>
        <v/>
      </c>
      <c r="Q63" s="36" t="str">
        <f>IF(OR($D63="",$E63=""),"",IF(AND($D63&lt;=Q$7+6,$E63&gt;=Q$7),IF('Plan de Tareas'!$J62="Completada",2,1),""))</f>
        <v/>
      </c>
      <c r="R63" s="36" t="str">
        <f>IF(OR($D63="",$E63=""),"",IF(AND($D63&lt;=R$7+6,$E63&gt;=R$7),IF('Plan de Tareas'!$J62="Completada",2,1),""))</f>
        <v/>
      </c>
      <c r="S63" s="36" t="str">
        <f>IF(OR($D63="",$E63=""),"",IF(AND($D63&lt;=S$7+6,$E63&gt;=S$7),IF('Plan de Tareas'!$J62="Completada",2,1),""))</f>
        <v/>
      </c>
      <c r="T63" s="36" t="str">
        <f>IF(OR($D63="",$E63=""),"",IF(AND($D63&lt;=T$7+6,$E63&gt;=T$7),IF('Plan de Tareas'!$J62="Completada",2,1),""))</f>
        <v/>
      </c>
      <c r="U63" s="36" t="str">
        <f>IF(OR($D63="",$E63=""),"",IF(AND($D63&lt;=U$7+6,$E63&gt;=U$7),IF('Plan de Tareas'!$J62="Completada",2,1),""))</f>
        <v/>
      </c>
      <c r="V63" s="36" t="str">
        <f>IF(OR($D63="",$E63=""),"",IF(AND($D63&lt;=V$7+6,$E63&gt;=V$7),IF('Plan de Tareas'!$J62="Completada",2,1),""))</f>
        <v/>
      </c>
      <c r="W63" s="36" t="str">
        <f>IF(OR($D63="",$E63=""),"",IF(AND($D63&lt;=W$7+6,$E63&gt;=W$7),IF('Plan de Tareas'!$J62="Completada",2,1),""))</f>
        <v/>
      </c>
      <c r="X63" s="36" t="str">
        <f>IF(OR($D63="",$E63=""),"",IF(AND($D63&lt;=X$7+6,$E63&gt;=X$7),IF('Plan de Tareas'!$J62="Completada",2,1),""))</f>
        <v/>
      </c>
      <c r="Y63" s="36" t="str">
        <f>IF(OR($D63="",$E63=""),"",IF(AND($D63&lt;=Y$7+6,$E63&gt;=Y$7),IF('Plan de Tareas'!$J62="Completada",2,1),""))</f>
        <v/>
      </c>
      <c r="Z63" s="36" t="str">
        <f>IF(OR($D63="",$E63=""),"",IF(AND($D63&lt;=Z$7+6,$E63&gt;=Z$7),IF('Plan de Tareas'!$J62="Completada",2,1),""))</f>
        <v/>
      </c>
      <c r="AA63" s="36" t="str">
        <f>IF(OR($D63="",$E63=""),"",IF(AND($D63&lt;=AA$7+6,$E63&gt;=AA$7),IF('Plan de Tareas'!$J62="Completada",2,1),""))</f>
        <v/>
      </c>
      <c r="AB63" s="36" t="str">
        <f>IF(OR($D63="",$E63=""),"",IF(AND($D63&lt;=AB$7+6,$E63&gt;=AB$7),IF('Plan de Tareas'!$J62="Completada",2,1),""))</f>
        <v/>
      </c>
      <c r="AC63" s="36" t="str">
        <f>IF(OR($D63="",$E63=""),"",IF(AND($D63&lt;=AC$7+6,$E63&gt;=AC$7),IF('Plan de Tareas'!$J62="Completada",2,1),""))</f>
        <v/>
      </c>
      <c r="AD63" s="36" t="str">
        <f>IF(OR($D63="",$E63=""),"",IF(AND($D63&lt;=AD$7+6,$E63&gt;=AD$7),IF('Plan de Tareas'!$J62="Completada",2,1),""))</f>
        <v/>
      </c>
      <c r="AE63" s="36" t="str">
        <f>IF(OR($D63="",$E63=""),"",IF(AND($D63&lt;=AE$7+6,$E63&gt;=AE$7),IF('Plan de Tareas'!$J62="Completada",2,1),""))</f>
        <v/>
      </c>
    </row>
    <row r="64" spans="1:31" ht="15" customHeight="1" x14ac:dyDescent="0.3">
      <c r="A64" s="34" t="str">
        <f>IF('Plan de Tareas'!$C63="","",'Plan de Tareas'!$A63)</f>
        <v/>
      </c>
      <c r="B64" s="20" t="str">
        <f>IF('Plan de Tareas'!$C63="","",'Plan de Tareas'!$C63)</f>
        <v/>
      </c>
      <c r="C64" s="20" t="str">
        <f>IF('Plan de Tareas'!$C63="","",'Plan de Tareas'!$D63)</f>
        <v/>
      </c>
      <c r="D64" s="35" t="str">
        <f>IF('Plan de Tareas'!$F63="","",'Plan de Tareas'!$F63)</f>
        <v/>
      </c>
      <c r="E64" s="35" t="str">
        <f>IF('Plan de Tareas'!$G63="","",'Plan de Tareas'!$G63)</f>
        <v/>
      </c>
      <c r="F64" s="36" t="str">
        <f>IF(OR($D64="",$E64=""),"",IF(AND($D64&lt;=F$7+6,$E64&gt;=F$7),IF('Plan de Tareas'!$J63="Completada",2,1),""))</f>
        <v/>
      </c>
      <c r="G64" s="36" t="str">
        <f>IF(OR($D64="",$E64=""),"",IF(AND($D64&lt;=G$7+6,$E64&gt;=G$7),IF('Plan de Tareas'!$J63="Completada",2,1),""))</f>
        <v/>
      </c>
      <c r="H64" s="36" t="str">
        <f>IF(OR($D64="",$E64=""),"",IF(AND($D64&lt;=H$7+6,$E64&gt;=H$7),IF('Plan de Tareas'!$J63="Completada",2,1),""))</f>
        <v/>
      </c>
      <c r="I64" s="36" t="str">
        <f>IF(OR($D64="",$E64=""),"",IF(AND($D64&lt;=I$7+6,$E64&gt;=I$7),IF('Plan de Tareas'!$J63="Completada",2,1),""))</f>
        <v/>
      </c>
      <c r="J64" s="36" t="str">
        <f>IF(OR($D64="",$E64=""),"",IF(AND($D64&lt;=J$7+6,$E64&gt;=J$7),IF('Plan de Tareas'!$J63="Completada",2,1),""))</f>
        <v/>
      </c>
      <c r="K64" s="36" t="str">
        <f>IF(OR($D64="",$E64=""),"",IF(AND($D64&lt;=K$7+6,$E64&gt;=K$7),IF('Plan de Tareas'!$J63="Completada",2,1),""))</f>
        <v/>
      </c>
      <c r="L64" s="36" t="str">
        <f>IF(OR($D64="",$E64=""),"",IF(AND($D64&lt;=L$7+6,$E64&gt;=L$7),IF('Plan de Tareas'!$J63="Completada",2,1),""))</f>
        <v/>
      </c>
      <c r="M64" s="36" t="str">
        <f>IF(OR($D64="",$E64=""),"",IF(AND($D64&lt;=M$7+6,$E64&gt;=M$7),IF('Plan de Tareas'!$J63="Completada",2,1),""))</f>
        <v/>
      </c>
      <c r="N64" s="36" t="str">
        <f>IF(OR($D64="",$E64=""),"",IF(AND($D64&lt;=N$7+6,$E64&gt;=N$7),IF('Plan de Tareas'!$J63="Completada",2,1),""))</f>
        <v/>
      </c>
      <c r="O64" s="36" t="str">
        <f>IF(OR($D64="",$E64=""),"",IF(AND($D64&lt;=O$7+6,$E64&gt;=O$7),IF('Plan de Tareas'!$J63="Completada",2,1),""))</f>
        <v/>
      </c>
      <c r="P64" s="36" t="str">
        <f>IF(OR($D64="",$E64=""),"",IF(AND($D64&lt;=P$7+6,$E64&gt;=P$7),IF('Plan de Tareas'!$J63="Completada",2,1),""))</f>
        <v/>
      </c>
      <c r="Q64" s="36" t="str">
        <f>IF(OR($D64="",$E64=""),"",IF(AND($D64&lt;=Q$7+6,$E64&gt;=Q$7),IF('Plan de Tareas'!$J63="Completada",2,1),""))</f>
        <v/>
      </c>
      <c r="R64" s="36" t="str">
        <f>IF(OR($D64="",$E64=""),"",IF(AND($D64&lt;=R$7+6,$E64&gt;=R$7),IF('Plan de Tareas'!$J63="Completada",2,1),""))</f>
        <v/>
      </c>
      <c r="S64" s="36" t="str">
        <f>IF(OR($D64="",$E64=""),"",IF(AND($D64&lt;=S$7+6,$E64&gt;=S$7),IF('Plan de Tareas'!$J63="Completada",2,1),""))</f>
        <v/>
      </c>
      <c r="T64" s="36" t="str">
        <f>IF(OR($D64="",$E64=""),"",IF(AND($D64&lt;=T$7+6,$E64&gt;=T$7),IF('Plan de Tareas'!$J63="Completada",2,1),""))</f>
        <v/>
      </c>
      <c r="U64" s="36" t="str">
        <f>IF(OR($D64="",$E64=""),"",IF(AND($D64&lt;=U$7+6,$E64&gt;=U$7),IF('Plan de Tareas'!$J63="Completada",2,1),""))</f>
        <v/>
      </c>
      <c r="V64" s="36" t="str">
        <f>IF(OR($D64="",$E64=""),"",IF(AND($D64&lt;=V$7+6,$E64&gt;=V$7),IF('Plan de Tareas'!$J63="Completada",2,1),""))</f>
        <v/>
      </c>
      <c r="W64" s="36" t="str">
        <f>IF(OR($D64="",$E64=""),"",IF(AND($D64&lt;=W$7+6,$E64&gt;=W$7),IF('Plan de Tareas'!$J63="Completada",2,1),""))</f>
        <v/>
      </c>
      <c r="X64" s="36" t="str">
        <f>IF(OR($D64="",$E64=""),"",IF(AND($D64&lt;=X$7+6,$E64&gt;=X$7),IF('Plan de Tareas'!$J63="Completada",2,1),""))</f>
        <v/>
      </c>
      <c r="Y64" s="36" t="str">
        <f>IF(OR($D64="",$E64=""),"",IF(AND($D64&lt;=Y$7+6,$E64&gt;=Y$7),IF('Plan de Tareas'!$J63="Completada",2,1),""))</f>
        <v/>
      </c>
      <c r="Z64" s="36" t="str">
        <f>IF(OR($D64="",$E64=""),"",IF(AND($D64&lt;=Z$7+6,$E64&gt;=Z$7),IF('Plan de Tareas'!$J63="Completada",2,1),""))</f>
        <v/>
      </c>
      <c r="AA64" s="36" t="str">
        <f>IF(OR($D64="",$E64=""),"",IF(AND($D64&lt;=AA$7+6,$E64&gt;=AA$7),IF('Plan de Tareas'!$J63="Completada",2,1),""))</f>
        <v/>
      </c>
      <c r="AB64" s="36" t="str">
        <f>IF(OR($D64="",$E64=""),"",IF(AND($D64&lt;=AB$7+6,$E64&gt;=AB$7),IF('Plan de Tareas'!$J63="Completada",2,1),""))</f>
        <v/>
      </c>
      <c r="AC64" s="36" t="str">
        <f>IF(OR($D64="",$E64=""),"",IF(AND($D64&lt;=AC$7+6,$E64&gt;=AC$7),IF('Plan de Tareas'!$J63="Completada",2,1),""))</f>
        <v/>
      </c>
      <c r="AD64" s="36" t="str">
        <f>IF(OR($D64="",$E64=""),"",IF(AND($D64&lt;=AD$7+6,$E64&gt;=AD$7),IF('Plan de Tareas'!$J63="Completada",2,1),""))</f>
        <v/>
      </c>
      <c r="AE64" s="36" t="str">
        <f>IF(OR($D64="",$E64=""),"",IF(AND($D64&lt;=AE$7+6,$E64&gt;=AE$7),IF('Plan de Tareas'!$J63="Completada",2,1),""))</f>
        <v/>
      </c>
    </row>
    <row r="65" spans="1:31" ht="15" customHeight="1" x14ac:dyDescent="0.3">
      <c r="A65" s="37" t="str">
        <f>IF('Plan de Tareas'!$C64="","",'Plan de Tareas'!$A64)</f>
        <v/>
      </c>
      <c r="B65" s="26" t="str">
        <f>IF('Plan de Tareas'!$C64="","",'Plan de Tareas'!$C64)</f>
        <v/>
      </c>
      <c r="C65" s="26" t="str">
        <f>IF('Plan de Tareas'!$C64="","",'Plan de Tareas'!$D64)</f>
        <v/>
      </c>
      <c r="D65" s="38" t="str">
        <f>IF('Plan de Tareas'!$F64="","",'Plan de Tareas'!$F64)</f>
        <v/>
      </c>
      <c r="E65" s="38" t="str">
        <f>IF('Plan de Tareas'!$G64="","",'Plan de Tareas'!$G64)</f>
        <v/>
      </c>
      <c r="F65" s="36" t="str">
        <f>IF(OR($D65="",$E65=""),"",IF(AND($D65&lt;=F$7+6,$E65&gt;=F$7),IF('Plan de Tareas'!$J64="Completada",2,1),""))</f>
        <v/>
      </c>
      <c r="G65" s="36" t="str">
        <f>IF(OR($D65="",$E65=""),"",IF(AND($D65&lt;=G$7+6,$E65&gt;=G$7),IF('Plan de Tareas'!$J64="Completada",2,1),""))</f>
        <v/>
      </c>
      <c r="H65" s="36" t="str">
        <f>IF(OR($D65="",$E65=""),"",IF(AND($D65&lt;=H$7+6,$E65&gt;=H$7),IF('Plan de Tareas'!$J64="Completada",2,1),""))</f>
        <v/>
      </c>
      <c r="I65" s="36" t="str">
        <f>IF(OR($D65="",$E65=""),"",IF(AND($D65&lt;=I$7+6,$E65&gt;=I$7),IF('Plan de Tareas'!$J64="Completada",2,1),""))</f>
        <v/>
      </c>
      <c r="J65" s="36" t="str">
        <f>IF(OR($D65="",$E65=""),"",IF(AND($D65&lt;=J$7+6,$E65&gt;=J$7),IF('Plan de Tareas'!$J64="Completada",2,1),""))</f>
        <v/>
      </c>
      <c r="K65" s="36" t="str">
        <f>IF(OR($D65="",$E65=""),"",IF(AND($D65&lt;=K$7+6,$E65&gt;=K$7),IF('Plan de Tareas'!$J64="Completada",2,1),""))</f>
        <v/>
      </c>
      <c r="L65" s="36" t="str">
        <f>IF(OR($D65="",$E65=""),"",IF(AND($D65&lt;=L$7+6,$E65&gt;=L$7),IF('Plan de Tareas'!$J64="Completada",2,1),""))</f>
        <v/>
      </c>
      <c r="M65" s="36" t="str">
        <f>IF(OR($D65="",$E65=""),"",IF(AND($D65&lt;=M$7+6,$E65&gt;=M$7),IF('Plan de Tareas'!$J64="Completada",2,1),""))</f>
        <v/>
      </c>
      <c r="N65" s="36" t="str">
        <f>IF(OR($D65="",$E65=""),"",IF(AND($D65&lt;=N$7+6,$E65&gt;=N$7),IF('Plan de Tareas'!$J64="Completada",2,1),""))</f>
        <v/>
      </c>
      <c r="O65" s="36" t="str">
        <f>IF(OR($D65="",$E65=""),"",IF(AND($D65&lt;=O$7+6,$E65&gt;=O$7),IF('Plan de Tareas'!$J64="Completada",2,1),""))</f>
        <v/>
      </c>
      <c r="P65" s="36" t="str">
        <f>IF(OR($D65="",$E65=""),"",IF(AND($D65&lt;=P$7+6,$E65&gt;=P$7),IF('Plan de Tareas'!$J64="Completada",2,1),""))</f>
        <v/>
      </c>
      <c r="Q65" s="36" t="str">
        <f>IF(OR($D65="",$E65=""),"",IF(AND($D65&lt;=Q$7+6,$E65&gt;=Q$7),IF('Plan de Tareas'!$J64="Completada",2,1),""))</f>
        <v/>
      </c>
      <c r="R65" s="36" t="str">
        <f>IF(OR($D65="",$E65=""),"",IF(AND($D65&lt;=R$7+6,$E65&gt;=R$7),IF('Plan de Tareas'!$J64="Completada",2,1),""))</f>
        <v/>
      </c>
      <c r="S65" s="36" t="str">
        <f>IF(OR($D65="",$E65=""),"",IF(AND($D65&lt;=S$7+6,$E65&gt;=S$7),IF('Plan de Tareas'!$J64="Completada",2,1),""))</f>
        <v/>
      </c>
      <c r="T65" s="36" t="str">
        <f>IF(OR($D65="",$E65=""),"",IF(AND($D65&lt;=T$7+6,$E65&gt;=T$7),IF('Plan de Tareas'!$J64="Completada",2,1),""))</f>
        <v/>
      </c>
      <c r="U65" s="36" t="str">
        <f>IF(OR($D65="",$E65=""),"",IF(AND($D65&lt;=U$7+6,$E65&gt;=U$7),IF('Plan de Tareas'!$J64="Completada",2,1),""))</f>
        <v/>
      </c>
      <c r="V65" s="36" t="str">
        <f>IF(OR($D65="",$E65=""),"",IF(AND($D65&lt;=V$7+6,$E65&gt;=V$7),IF('Plan de Tareas'!$J64="Completada",2,1),""))</f>
        <v/>
      </c>
      <c r="W65" s="36" t="str">
        <f>IF(OR($D65="",$E65=""),"",IF(AND($D65&lt;=W$7+6,$E65&gt;=W$7),IF('Plan de Tareas'!$J64="Completada",2,1),""))</f>
        <v/>
      </c>
      <c r="X65" s="36" t="str">
        <f>IF(OR($D65="",$E65=""),"",IF(AND($D65&lt;=X$7+6,$E65&gt;=X$7),IF('Plan de Tareas'!$J64="Completada",2,1),""))</f>
        <v/>
      </c>
      <c r="Y65" s="36" t="str">
        <f>IF(OR($D65="",$E65=""),"",IF(AND($D65&lt;=Y$7+6,$E65&gt;=Y$7),IF('Plan de Tareas'!$J64="Completada",2,1),""))</f>
        <v/>
      </c>
      <c r="Z65" s="36" t="str">
        <f>IF(OR($D65="",$E65=""),"",IF(AND($D65&lt;=Z$7+6,$E65&gt;=Z$7),IF('Plan de Tareas'!$J64="Completada",2,1),""))</f>
        <v/>
      </c>
      <c r="AA65" s="36" t="str">
        <f>IF(OR($D65="",$E65=""),"",IF(AND($D65&lt;=AA$7+6,$E65&gt;=AA$7),IF('Plan de Tareas'!$J64="Completada",2,1),""))</f>
        <v/>
      </c>
      <c r="AB65" s="36" t="str">
        <f>IF(OR($D65="",$E65=""),"",IF(AND($D65&lt;=AB$7+6,$E65&gt;=AB$7),IF('Plan de Tareas'!$J64="Completada",2,1),""))</f>
        <v/>
      </c>
      <c r="AC65" s="36" t="str">
        <f>IF(OR($D65="",$E65=""),"",IF(AND($D65&lt;=AC$7+6,$E65&gt;=AC$7),IF('Plan de Tareas'!$J64="Completada",2,1),""))</f>
        <v/>
      </c>
      <c r="AD65" s="36" t="str">
        <f>IF(OR($D65="",$E65=""),"",IF(AND($D65&lt;=AD$7+6,$E65&gt;=AD$7),IF('Plan de Tareas'!$J64="Completada",2,1),""))</f>
        <v/>
      </c>
      <c r="AE65" s="36" t="str">
        <f>IF(OR($D65="",$E65=""),"",IF(AND($D65&lt;=AE$7+6,$E65&gt;=AE$7),IF('Plan de Tareas'!$J64="Completada",2,1),""))</f>
        <v/>
      </c>
    </row>
    <row r="66" spans="1:31" ht="15" customHeight="1" x14ac:dyDescent="0.3">
      <c r="A66" s="34" t="str">
        <f>IF('Plan de Tareas'!$C65="","",'Plan de Tareas'!$A65)</f>
        <v/>
      </c>
      <c r="B66" s="20" t="str">
        <f>IF('Plan de Tareas'!$C65="","",'Plan de Tareas'!$C65)</f>
        <v/>
      </c>
      <c r="C66" s="20" t="str">
        <f>IF('Plan de Tareas'!$C65="","",'Plan de Tareas'!$D65)</f>
        <v/>
      </c>
      <c r="D66" s="35" t="str">
        <f>IF('Plan de Tareas'!$F65="","",'Plan de Tareas'!$F65)</f>
        <v/>
      </c>
      <c r="E66" s="35" t="str">
        <f>IF('Plan de Tareas'!$G65="","",'Plan de Tareas'!$G65)</f>
        <v/>
      </c>
      <c r="F66" s="36" t="str">
        <f>IF(OR($D66="",$E66=""),"",IF(AND($D66&lt;=F$7+6,$E66&gt;=F$7),IF('Plan de Tareas'!$J65="Completada",2,1),""))</f>
        <v/>
      </c>
      <c r="G66" s="36" t="str">
        <f>IF(OR($D66="",$E66=""),"",IF(AND($D66&lt;=G$7+6,$E66&gt;=G$7),IF('Plan de Tareas'!$J65="Completada",2,1),""))</f>
        <v/>
      </c>
      <c r="H66" s="36" t="str">
        <f>IF(OR($D66="",$E66=""),"",IF(AND($D66&lt;=H$7+6,$E66&gt;=H$7),IF('Plan de Tareas'!$J65="Completada",2,1),""))</f>
        <v/>
      </c>
      <c r="I66" s="36" t="str">
        <f>IF(OR($D66="",$E66=""),"",IF(AND($D66&lt;=I$7+6,$E66&gt;=I$7),IF('Plan de Tareas'!$J65="Completada",2,1),""))</f>
        <v/>
      </c>
      <c r="J66" s="36" t="str">
        <f>IF(OR($D66="",$E66=""),"",IF(AND($D66&lt;=J$7+6,$E66&gt;=J$7),IF('Plan de Tareas'!$J65="Completada",2,1),""))</f>
        <v/>
      </c>
      <c r="K66" s="36" t="str">
        <f>IF(OR($D66="",$E66=""),"",IF(AND($D66&lt;=K$7+6,$E66&gt;=K$7),IF('Plan de Tareas'!$J65="Completada",2,1),""))</f>
        <v/>
      </c>
      <c r="L66" s="36" t="str">
        <f>IF(OR($D66="",$E66=""),"",IF(AND($D66&lt;=L$7+6,$E66&gt;=L$7),IF('Plan de Tareas'!$J65="Completada",2,1),""))</f>
        <v/>
      </c>
      <c r="M66" s="36" t="str">
        <f>IF(OR($D66="",$E66=""),"",IF(AND($D66&lt;=M$7+6,$E66&gt;=M$7),IF('Plan de Tareas'!$J65="Completada",2,1),""))</f>
        <v/>
      </c>
      <c r="N66" s="36" t="str">
        <f>IF(OR($D66="",$E66=""),"",IF(AND($D66&lt;=N$7+6,$E66&gt;=N$7),IF('Plan de Tareas'!$J65="Completada",2,1),""))</f>
        <v/>
      </c>
      <c r="O66" s="36" t="str">
        <f>IF(OR($D66="",$E66=""),"",IF(AND($D66&lt;=O$7+6,$E66&gt;=O$7),IF('Plan de Tareas'!$J65="Completada",2,1),""))</f>
        <v/>
      </c>
      <c r="P66" s="36" t="str">
        <f>IF(OR($D66="",$E66=""),"",IF(AND($D66&lt;=P$7+6,$E66&gt;=P$7),IF('Plan de Tareas'!$J65="Completada",2,1),""))</f>
        <v/>
      </c>
      <c r="Q66" s="36" t="str">
        <f>IF(OR($D66="",$E66=""),"",IF(AND($D66&lt;=Q$7+6,$E66&gt;=Q$7),IF('Plan de Tareas'!$J65="Completada",2,1),""))</f>
        <v/>
      </c>
      <c r="R66" s="36" t="str">
        <f>IF(OR($D66="",$E66=""),"",IF(AND($D66&lt;=R$7+6,$E66&gt;=R$7),IF('Plan de Tareas'!$J65="Completada",2,1),""))</f>
        <v/>
      </c>
      <c r="S66" s="36" t="str">
        <f>IF(OR($D66="",$E66=""),"",IF(AND($D66&lt;=S$7+6,$E66&gt;=S$7),IF('Plan de Tareas'!$J65="Completada",2,1),""))</f>
        <v/>
      </c>
      <c r="T66" s="36" t="str">
        <f>IF(OR($D66="",$E66=""),"",IF(AND($D66&lt;=T$7+6,$E66&gt;=T$7),IF('Plan de Tareas'!$J65="Completada",2,1),""))</f>
        <v/>
      </c>
      <c r="U66" s="36" t="str">
        <f>IF(OR($D66="",$E66=""),"",IF(AND($D66&lt;=U$7+6,$E66&gt;=U$7),IF('Plan de Tareas'!$J65="Completada",2,1),""))</f>
        <v/>
      </c>
      <c r="V66" s="36" t="str">
        <f>IF(OR($D66="",$E66=""),"",IF(AND($D66&lt;=V$7+6,$E66&gt;=V$7),IF('Plan de Tareas'!$J65="Completada",2,1),""))</f>
        <v/>
      </c>
      <c r="W66" s="36" t="str">
        <f>IF(OR($D66="",$E66=""),"",IF(AND($D66&lt;=W$7+6,$E66&gt;=W$7),IF('Plan de Tareas'!$J65="Completada",2,1),""))</f>
        <v/>
      </c>
      <c r="X66" s="36" t="str">
        <f>IF(OR($D66="",$E66=""),"",IF(AND($D66&lt;=X$7+6,$E66&gt;=X$7),IF('Plan de Tareas'!$J65="Completada",2,1),""))</f>
        <v/>
      </c>
      <c r="Y66" s="36" t="str">
        <f>IF(OR($D66="",$E66=""),"",IF(AND($D66&lt;=Y$7+6,$E66&gt;=Y$7),IF('Plan de Tareas'!$J65="Completada",2,1),""))</f>
        <v/>
      </c>
      <c r="Z66" s="36" t="str">
        <f>IF(OR($D66="",$E66=""),"",IF(AND($D66&lt;=Z$7+6,$E66&gt;=Z$7),IF('Plan de Tareas'!$J65="Completada",2,1),""))</f>
        <v/>
      </c>
      <c r="AA66" s="36" t="str">
        <f>IF(OR($D66="",$E66=""),"",IF(AND($D66&lt;=AA$7+6,$E66&gt;=AA$7),IF('Plan de Tareas'!$J65="Completada",2,1),""))</f>
        <v/>
      </c>
      <c r="AB66" s="36" t="str">
        <f>IF(OR($D66="",$E66=""),"",IF(AND($D66&lt;=AB$7+6,$E66&gt;=AB$7),IF('Plan de Tareas'!$J65="Completada",2,1),""))</f>
        <v/>
      </c>
      <c r="AC66" s="36" t="str">
        <f>IF(OR($D66="",$E66=""),"",IF(AND($D66&lt;=AC$7+6,$E66&gt;=AC$7),IF('Plan de Tareas'!$J65="Completada",2,1),""))</f>
        <v/>
      </c>
      <c r="AD66" s="36" t="str">
        <f>IF(OR($D66="",$E66=""),"",IF(AND($D66&lt;=AD$7+6,$E66&gt;=AD$7),IF('Plan de Tareas'!$J65="Completada",2,1),""))</f>
        <v/>
      </c>
      <c r="AE66" s="36" t="str">
        <f>IF(OR($D66="",$E66=""),"",IF(AND($D66&lt;=AE$7+6,$E66&gt;=AE$7),IF('Plan de Tareas'!$J65="Completada",2,1),""))</f>
        <v/>
      </c>
    </row>
    <row r="67" spans="1:31" ht="15" customHeight="1" x14ac:dyDescent="0.3">
      <c r="A67" s="37" t="str">
        <f>IF('Plan de Tareas'!$C66="","",'Plan de Tareas'!$A66)</f>
        <v/>
      </c>
      <c r="B67" s="26" t="str">
        <f>IF('Plan de Tareas'!$C66="","",'Plan de Tareas'!$C66)</f>
        <v/>
      </c>
      <c r="C67" s="26" t="str">
        <f>IF('Plan de Tareas'!$C66="","",'Plan de Tareas'!$D66)</f>
        <v/>
      </c>
      <c r="D67" s="38" t="str">
        <f>IF('Plan de Tareas'!$F66="","",'Plan de Tareas'!$F66)</f>
        <v/>
      </c>
      <c r="E67" s="38" t="str">
        <f>IF('Plan de Tareas'!$G66="","",'Plan de Tareas'!$G66)</f>
        <v/>
      </c>
      <c r="F67" s="36" t="str">
        <f>IF(OR($D67="",$E67=""),"",IF(AND($D67&lt;=F$7+6,$E67&gt;=F$7),IF('Plan de Tareas'!$J66="Completada",2,1),""))</f>
        <v/>
      </c>
      <c r="G67" s="36" t="str">
        <f>IF(OR($D67="",$E67=""),"",IF(AND($D67&lt;=G$7+6,$E67&gt;=G$7),IF('Plan de Tareas'!$J66="Completada",2,1),""))</f>
        <v/>
      </c>
      <c r="H67" s="36" t="str">
        <f>IF(OR($D67="",$E67=""),"",IF(AND($D67&lt;=H$7+6,$E67&gt;=H$7),IF('Plan de Tareas'!$J66="Completada",2,1),""))</f>
        <v/>
      </c>
      <c r="I67" s="36" t="str">
        <f>IF(OR($D67="",$E67=""),"",IF(AND($D67&lt;=I$7+6,$E67&gt;=I$7),IF('Plan de Tareas'!$J66="Completada",2,1),""))</f>
        <v/>
      </c>
      <c r="J67" s="36" t="str">
        <f>IF(OR($D67="",$E67=""),"",IF(AND($D67&lt;=J$7+6,$E67&gt;=J$7),IF('Plan de Tareas'!$J66="Completada",2,1),""))</f>
        <v/>
      </c>
      <c r="K67" s="36" t="str">
        <f>IF(OR($D67="",$E67=""),"",IF(AND($D67&lt;=K$7+6,$E67&gt;=K$7),IF('Plan de Tareas'!$J66="Completada",2,1),""))</f>
        <v/>
      </c>
      <c r="L67" s="36" t="str">
        <f>IF(OR($D67="",$E67=""),"",IF(AND($D67&lt;=L$7+6,$E67&gt;=L$7),IF('Plan de Tareas'!$J66="Completada",2,1),""))</f>
        <v/>
      </c>
      <c r="M67" s="36" t="str">
        <f>IF(OR($D67="",$E67=""),"",IF(AND($D67&lt;=M$7+6,$E67&gt;=M$7),IF('Plan de Tareas'!$J66="Completada",2,1),""))</f>
        <v/>
      </c>
      <c r="N67" s="36" t="str">
        <f>IF(OR($D67="",$E67=""),"",IF(AND($D67&lt;=N$7+6,$E67&gt;=N$7),IF('Plan de Tareas'!$J66="Completada",2,1),""))</f>
        <v/>
      </c>
      <c r="O67" s="36" t="str">
        <f>IF(OR($D67="",$E67=""),"",IF(AND($D67&lt;=O$7+6,$E67&gt;=O$7),IF('Plan de Tareas'!$J66="Completada",2,1),""))</f>
        <v/>
      </c>
      <c r="P67" s="36" t="str">
        <f>IF(OR($D67="",$E67=""),"",IF(AND($D67&lt;=P$7+6,$E67&gt;=P$7),IF('Plan de Tareas'!$J66="Completada",2,1),""))</f>
        <v/>
      </c>
      <c r="Q67" s="36" t="str">
        <f>IF(OR($D67="",$E67=""),"",IF(AND($D67&lt;=Q$7+6,$E67&gt;=Q$7),IF('Plan de Tareas'!$J66="Completada",2,1),""))</f>
        <v/>
      </c>
      <c r="R67" s="36" t="str">
        <f>IF(OR($D67="",$E67=""),"",IF(AND($D67&lt;=R$7+6,$E67&gt;=R$7),IF('Plan de Tareas'!$J66="Completada",2,1),""))</f>
        <v/>
      </c>
      <c r="S67" s="36" t="str">
        <f>IF(OR($D67="",$E67=""),"",IF(AND($D67&lt;=S$7+6,$E67&gt;=S$7),IF('Plan de Tareas'!$J66="Completada",2,1),""))</f>
        <v/>
      </c>
      <c r="T67" s="36" t="str">
        <f>IF(OR($D67="",$E67=""),"",IF(AND($D67&lt;=T$7+6,$E67&gt;=T$7),IF('Plan de Tareas'!$J66="Completada",2,1),""))</f>
        <v/>
      </c>
      <c r="U67" s="36" t="str">
        <f>IF(OR($D67="",$E67=""),"",IF(AND($D67&lt;=U$7+6,$E67&gt;=U$7),IF('Plan de Tareas'!$J66="Completada",2,1),""))</f>
        <v/>
      </c>
      <c r="V67" s="36" t="str">
        <f>IF(OR($D67="",$E67=""),"",IF(AND($D67&lt;=V$7+6,$E67&gt;=V$7),IF('Plan de Tareas'!$J66="Completada",2,1),""))</f>
        <v/>
      </c>
      <c r="W67" s="36" t="str">
        <f>IF(OR($D67="",$E67=""),"",IF(AND($D67&lt;=W$7+6,$E67&gt;=W$7),IF('Plan de Tareas'!$J66="Completada",2,1),""))</f>
        <v/>
      </c>
      <c r="X67" s="36" t="str">
        <f>IF(OR($D67="",$E67=""),"",IF(AND($D67&lt;=X$7+6,$E67&gt;=X$7),IF('Plan de Tareas'!$J66="Completada",2,1),""))</f>
        <v/>
      </c>
      <c r="Y67" s="36" t="str">
        <f>IF(OR($D67="",$E67=""),"",IF(AND($D67&lt;=Y$7+6,$E67&gt;=Y$7),IF('Plan de Tareas'!$J66="Completada",2,1),""))</f>
        <v/>
      </c>
      <c r="Z67" s="36" t="str">
        <f>IF(OR($D67="",$E67=""),"",IF(AND($D67&lt;=Z$7+6,$E67&gt;=Z$7),IF('Plan de Tareas'!$J66="Completada",2,1),""))</f>
        <v/>
      </c>
      <c r="AA67" s="36" t="str">
        <f>IF(OR($D67="",$E67=""),"",IF(AND($D67&lt;=AA$7+6,$E67&gt;=AA$7),IF('Plan de Tareas'!$J66="Completada",2,1),""))</f>
        <v/>
      </c>
      <c r="AB67" s="36" t="str">
        <f>IF(OR($D67="",$E67=""),"",IF(AND($D67&lt;=AB$7+6,$E67&gt;=AB$7),IF('Plan de Tareas'!$J66="Completada",2,1),""))</f>
        <v/>
      </c>
      <c r="AC67" s="36" t="str">
        <f>IF(OR($D67="",$E67=""),"",IF(AND($D67&lt;=AC$7+6,$E67&gt;=AC$7),IF('Plan de Tareas'!$J66="Completada",2,1),""))</f>
        <v/>
      </c>
      <c r="AD67" s="36" t="str">
        <f>IF(OR($D67="",$E67=""),"",IF(AND($D67&lt;=AD$7+6,$E67&gt;=AD$7),IF('Plan de Tareas'!$J66="Completada",2,1),""))</f>
        <v/>
      </c>
      <c r="AE67" s="36" t="str">
        <f>IF(OR($D67="",$E67=""),"",IF(AND($D67&lt;=AE$7+6,$E67&gt;=AE$7),IF('Plan de Tareas'!$J66="Completada",2,1),""))</f>
        <v/>
      </c>
    </row>
    <row r="68" spans="1:31" ht="15" customHeight="1" x14ac:dyDescent="0.3">
      <c r="A68" s="34" t="str">
        <f>IF('Plan de Tareas'!$C67="","",'Plan de Tareas'!$A67)</f>
        <v/>
      </c>
      <c r="B68" s="20" t="str">
        <f>IF('Plan de Tareas'!$C67="","",'Plan de Tareas'!$C67)</f>
        <v/>
      </c>
      <c r="C68" s="20" t="str">
        <f>IF('Plan de Tareas'!$C67="","",'Plan de Tareas'!$D67)</f>
        <v/>
      </c>
      <c r="D68" s="35" t="str">
        <f>IF('Plan de Tareas'!$F67="","",'Plan de Tareas'!$F67)</f>
        <v/>
      </c>
      <c r="E68" s="35" t="str">
        <f>IF('Plan de Tareas'!$G67="","",'Plan de Tareas'!$G67)</f>
        <v/>
      </c>
      <c r="F68" s="36" t="str">
        <f>IF(OR($D68="",$E68=""),"",IF(AND($D68&lt;=F$7+6,$E68&gt;=F$7),IF('Plan de Tareas'!$J67="Completada",2,1),""))</f>
        <v/>
      </c>
      <c r="G68" s="36" t="str">
        <f>IF(OR($D68="",$E68=""),"",IF(AND($D68&lt;=G$7+6,$E68&gt;=G$7),IF('Plan de Tareas'!$J67="Completada",2,1),""))</f>
        <v/>
      </c>
      <c r="H68" s="36" t="str">
        <f>IF(OR($D68="",$E68=""),"",IF(AND($D68&lt;=H$7+6,$E68&gt;=H$7),IF('Plan de Tareas'!$J67="Completada",2,1),""))</f>
        <v/>
      </c>
      <c r="I68" s="36" t="str">
        <f>IF(OR($D68="",$E68=""),"",IF(AND($D68&lt;=I$7+6,$E68&gt;=I$7),IF('Plan de Tareas'!$J67="Completada",2,1),""))</f>
        <v/>
      </c>
      <c r="J68" s="36" t="str">
        <f>IF(OR($D68="",$E68=""),"",IF(AND($D68&lt;=J$7+6,$E68&gt;=J$7),IF('Plan de Tareas'!$J67="Completada",2,1),""))</f>
        <v/>
      </c>
      <c r="K68" s="36" t="str">
        <f>IF(OR($D68="",$E68=""),"",IF(AND($D68&lt;=K$7+6,$E68&gt;=K$7),IF('Plan de Tareas'!$J67="Completada",2,1),""))</f>
        <v/>
      </c>
      <c r="L68" s="36" t="str">
        <f>IF(OR($D68="",$E68=""),"",IF(AND($D68&lt;=L$7+6,$E68&gt;=L$7),IF('Plan de Tareas'!$J67="Completada",2,1),""))</f>
        <v/>
      </c>
      <c r="M68" s="36" t="str">
        <f>IF(OR($D68="",$E68=""),"",IF(AND($D68&lt;=M$7+6,$E68&gt;=M$7),IF('Plan de Tareas'!$J67="Completada",2,1),""))</f>
        <v/>
      </c>
      <c r="N68" s="36" t="str">
        <f>IF(OR($D68="",$E68=""),"",IF(AND($D68&lt;=N$7+6,$E68&gt;=N$7),IF('Plan de Tareas'!$J67="Completada",2,1),""))</f>
        <v/>
      </c>
      <c r="O68" s="36" t="str">
        <f>IF(OR($D68="",$E68=""),"",IF(AND($D68&lt;=O$7+6,$E68&gt;=O$7),IF('Plan de Tareas'!$J67="Completada",2,1),""))</f>
        <v/>
      </c>
      <c r="P68" s="36" t="str">
        <f>IF(OR($D68="",$E68=""),"",IF(AND($D68&lt;=P$7+6,$E68&gt;=P$7),IF('Plan de Tareas'!$J67="Completada",2,1),""))</f>
        <v/>
      </c>
      <c r="Q68" s="36" t="str">
        <f>IF(OR($D68="",$E68=""),"",IF(AND($D68&lt;=Q$7+6,$E68&gt;=Q$7),IF('Plan de Tareas'!$J67="Completada",2,1),""))</f>
        <v/>
      </c>
      <c r="R68" s="36" t="str">
        <f>IF(OR($D68="",$E68=""),"",IF(AND($D68&lt;=R$7+6,$E68&gt;=R$7),IF('Plan de Tareas'!$J67="Completada",2,1),""))</f>
        <v/>
      </c>
      <c r="S68" s="36" t="str">
        <f>IF(OR($D68="",$E68=""),"",IF(AND($D68&lt;=S$7+6,$E68&gt;=S$7),IF('Plan de Tareas'!$J67="Completada",2,1),""))</f>
        <v/>
      </c>
      <c r="T68" s="36" t="str">
        <f>IF(OR($D68="",$E68=""),"",IF(AND($D68&lt;=T$7+6,$E68&gt;=T$7),IF('Plan de Tareas'!$J67="Completada",2,1),""))</f>
        <v/>
      </c>
      <c r="U68" s="36" t="str">
        <f>IF(OR($D68="",$E68=""),"",IF(AND($D68&lt;=U$7+6,$E68&gt;=U$7),IF('Plan de Tareas'!$J67="Completada",2,1),""))</f>
        <v/>
      </c>
      <c r="V68" s="36" t="str">
        <f>IF(OR($D68="",$E68=""),"",IF(AND($D68&lt;=V$7+6,$E68&gt;=V$7),IF('Plan de Tareas'!$J67="Completada",2,1),""))</f>
        <v/>
      </c>
      <c r="W68" s="36" t="str">
        <f>IF(OR($D68="",$E68=""),"",IF(AND($D68&lt;=W$7+6,$E68&gt;=W$7),IF('Plan de Tareas'!$J67="Completada",2,1),""))</f>
        <v/>
      </c>
      <c r="X68" s="36" t="str">
        <f>IF(OR($D68="",$E68=""),"",IF(AND($D68&lt;=X$7+6,$E68&gt;=X$7),IF('Plan de Tareas'!$J67="Completada",2,1),""))</f>
        <v/>
      </c>
      <c r="Y68" s="36" t="str">
        <f>IF(OR($D68="",$E68=""),"",IF(AND($D68&lt;=Y$7+6,$E68&gt;=Y$7),IF('Plan de Tareas'!$J67="Completada",2,1),""))</f>
        <v/>
      </c>
      <c r="Z68" s="36" t="str">
        <f>IF(OR($D68="",$E68=""),"",IF(AND($D68&lt;=Z$7+6,$E68&gt;=Z$7),IF('Plan de Tareas'!$J67="Completada",2,1),""))</f>
        <v/>
      </c>
      <c r="AA68" s="36" t="str">
        <f>IF(OR($D68="",$E68=""),"",IF(AND($D68&lt;=AA$7+6,$E68&gt;=AA$7),IF('Plan de Tareas'!$J67="Completada",2,1),""))</f>
        <v/>
      </c>
      <c r="AB68" s="36" t="str">
        <f>IF(OR($D68="",$E68=""),"",IF(AND($D68&lt;=AB$7+6,$E68&gt;=AB$7),IF('Plan de Tareas'!$J67="Completada",2,1),""))</f>
        <v/>
      </c>
      <c r="AC68" s="36" t="str">
        <f>IF(OR($D68="",$E68=""),"",IF(AND($D68&lt;=AC$7+6,$E68&gt;=AC$7),IF('Plan de Tareas'!$J67="Completada",2,1),""))</f>
        <v/>
      </c>
      <c r="AD68" s="36" t="str">
        <f>IF(OR($D68="",$E68=""),"",IF(AND($D68&lt;=AD$7+6,$E68&gt;=AD$7),IF('Plan de Tareas'!$J67="Completada",2,1),""))</f>
        <v/>
      </c>
      <c r="AE68" s="36" t="str">
        <f>IF(OR($D68="",$E68=""),"",IF(AND($D68&lt;=AE$7+6,$E68&gt;=AE$7),IF('Plan de Tareas'!$J67="Completada",2,1),""))</f>
        <v/>
      </c>
    </row>
    <row r="69" spans="1:31" ht="15" customHeight="1" x14ac:dyDescent="0.3">
      <c r="A69" s="37" t="str">
        <f>IF('Plan de Tareas'!$C68="","",'Plan de Tareas'!$A68)</f>
        <v/>
      </c>
      <c r="B69" s="26" t="str">
        <f>IF('Plan de Tareas'!$C68="","",'Plan de Tareas'!$C68)</f>
        <v/>
      </c>
      <c r="C69" s="26" t="str">
        <f>IF('Plan de Tareas'!$C68="","",'Plan de Tareas'!$D68)</f>
        <v/>
      </c>
      <c r="D69" s="38" t="str">
        <f>IF('Plan de Tareas'!$F68="","",'Plan de Tareas'!$F68)</f>
        <v/>
      </c>
      <c r="E69" s="38" t="str">
        <f>IF('Plan de Tareas'!$G68="","",'Plan de Tareas'!$G68)</f>
        <v/>
      </c>
      <c r="F69" s="36" t="str">
        <f>IF(OR($D69="",$E69=""),"",IF(AND($D69&lt;=F$7+6,$E69&gt;=F$7),IF('Plan de Tareas'!$J68="Completada",2,1),""))</f>
        <v/>
      </c>
      <c r="G69" s="36" t="str">
        <f>IF(OR($D69="",$E69=""),"",IF(AND($D69&lt;=G$7+6,$E69&gt;=G$7),IF('Plan de Tareas'!$J68="Completada",2,1),""))</f>
        <v/>
      </c>
      <c r="H69" s="36" t="str">
        <f>IF(OR($D69="",$E69=""),"",IF(AND($D69&lt;=H$7+6,$E69&gt;=H$7),IF('Plan de Tareas'!$J68="Completada",2,1),""))</f>
        <v/>
      </c>
      <c r="I69" s="36" t="str">
        <f>IF(OR($D69="",$E69=""),"",IF(AND($D69&lt;=I$7+6,$E69&gt;=I$7),IF('Plan de Tareas'!$J68="Completada",2,1),""))</f>
        <v/>
      </c>
      <c r="J69" s="36" t="str">
        <f>IF(OR($D69="",$E69=""),"",IF(AND($D69&lt;=J$7+6,$E69&gt;=J$7),IF('Plan de Tareas'!$J68="Completada",2,1),""))</f>
        <v/>
      </c>
      <c r="K69" s="36" t="str">
        <f>IF(OR($D69="",$E69=""),"",IF(AND($D69&lt;=K$7+6,$E69&gt;=K$7),IF('Plan de Tareas'!$J68="Completada",2,1),""))</f>
        <v/>
      </c>
      <c r="L69" s="36" t="str">
        <f>IF(OR($D69="",$E69=""),"",IF(AND($D69&lt;=L$7+6,$E69&gt;=L$7),IF('Plan de Tareas'!$J68="Completada",2,1),""))</f>
        <v/>
      </c>
      <c r="M69" s="36" t="str">
        <f>IF(OR($D69="",$E69=""),"",IF(AND($D69&lt;=M$7+6,$E69&gt;=M$7),IF('Plan de Tareas'!$J68="Completada",2,1),""))</f>
        <v/>
      </c>
      <c r="N69" s="36" t="str">
        <f>IF(OR($D69="",$E69=""),"",IF(AND($D69&lt;=N$7+6,$E69&gt;=N$7),IF('Plan de Tareas'!$J68="Completada",2,1),""))</f>
        <v/>
      </c>
      <c r="O69" s="36" t="str">
        <f>IF(OR($D69="",$E69=""),"",IF(AND($D69&lt;=O$7+6,$E69&gt;=O$7),IF('Plan de Tareas'!$J68="Completada",2,1),""))</f>
        <v/>
      </c>
      <c r="P69" s="36" t="str">
        <f>IF(OR($D69="",$E69=""),"",IF(AND($D69&lt;=P$7+6,$E69&gt;=P$7),IF('Plan de Tareas'!$J68="Completada",2,1),""))</f>
        <v/>
      </c>
      <c r="Q69" s="36" t="str">
        <f>IF(OR($D69="",$E69=""),"",IF(AND($D69&lt;=Q$7+6,$E69&gt;=Q$7),IF('Plan de Tareas'!$J68="Completada",2,1),""))</f>
        <v/>
      </c>
      <c r="R69" s="36" t="str">
        <f>IF(OR($D69="",$E69=""),"",IF(AND($D69&lt;=R$7+6,$E69&gt;=R$7),IF('Plan de Tareas'!$J68="Completada",2,1),""))</f>
        <v/>
      </c>
      <c r="S69" s="36" t="str">
        <f>IF(OR($D69="",$E69=""),"",IF(AND($D69&lt;=S$7+6,$E69&gt;=S$7),IF('Plan de Tareas'!$J68="Completada",2,1),""))</f>
        <v/>
      </c>
      <c r="T69" s="36" t="str">
        <f>IF(OR($D69="",$E69=""),"",IF(AND($D69&lt;=T$7+6,$E69&gt;=T$7),IF('Plan de Tareas'!$J68="Completada",2,1),""))</f>
        <v/>
      </c>
      <c r="U69" s="36" t="str">
        <f>IF(OR($D69="",$E69=""),"",IF(AND($D69&lt;=U$7+6,$E69&gt;=U$7),IF('Plan de Tareas'!$J68="Completada",2,1),""))</f>
        <v/>
      </c>
      <c r="V69" s="36" t="str">
        <f>IF(OR($D69="",$E69=""),"",IF(AND($D69&lt;=V$7+6,$E69&gt;=V$7),IF('Plan de Tareas'!$J68="Completada",2,1),""))</f>
        <v/>
      </c>
      <c r="W69" s="36" t="str">
        <f>IF(OR($D69="",$E69=""),"",IF(AND($D69&lt;=W$7+6,$E69&gt;=W$7),IF('Plan de Tareas'!$J68="Completada",2,1),""))</f>
        <v/>
      </c>
      <c r="X69" s="36" t="str">
        <f>IF(OR($D69="",$E69=""),"",IF(AND($D69&lt;=X$7+6,$E69&gt;=X$7),IF('Plan de Tareas'!$J68="Completada",2,1),""))</f>
        <v/>
      </c>
      <c r="Y69" s="36" t="str">
        <f>IF(OR($D69="",$E69=""),"",IF(AND($D69&lt;=Y$7+6,$E69&gt;=Y$7),IF('Plan de Tareas'!$J68="Completada",2,1),""))</f>
        <v/>
      </c>
      <c r="Z69" s="36" t="str">
        <f>IF(OR($D69="",$E69=""),"",IF(AND($D69&lt;=Z$7+6,$E69&gt;=Z$7),IF('Plan de Tareas'!$J68="Completada",2,1),""))</f>
        <v/>
      </c>
      <c r="AA69" s="36" t="str">
        <f>IF(OR($D69="",$E69=""),"",IF(AND($D69&lt;=AA$7+6,$E69&gt;=AA$7),IF('Plan de Tareas'!$J68="Completada",2,1),""))</f>
        <v/>
      </c>
      <c r="AB69" s="36" t="str">
        <f>IF(OR($D69="",$E69=""),"",IF(AND($D69&lt;=AB$7+6,$E69&gt;=AB$7),IF('Plan de Tareas'!$J68="Completada",2,1),""))</f>
        <v/>
      </c>
      <c r="AC69" s="36" t="str">
        <f>IF(OR($D69="",$E69=""),"",IF(AND($D69&lt;=AC$7+6,$E69&gt;=AC$7),IF('Plan de Tareas'!$J68="Completada",2,1),""))</f>
        <v/>
      </c>
      <c r="AD69" s="36" t="str">
        <f>IF(OR($D69="",$E69=""),"",IF(AND($D69&lt;=AD$7+6,$E69&gt;=AD$7),IF('Plan de Tareas'!$J68="Completada",2,1),""))</f>
        <v/>
      </c>
      <c r="AE69" s="36" t="str">
        <f>IF(OR($D69="",$E69=""),"",IF(AND($D69&lt;=AE$7+6,$E69&gt;=AE$7),IF('Plan de Tareas'!$J68="Completada",2,1),""))</f>
        <v/>
      </c>
    </row>
    <row r="70" spans="1:31" ht="15" customHeight="1" x14ac:dyDescent="0.3">
      <c r="A70" s="34" t="str">
        <f>IF('Plan de Tareas'!$C69="","",'Plan de Tareas'!$A69)</f>
        <v/>
      </c>
      <c r="B70" s="20" t="str">
        <f>IF('Plan de Tareas'!$C69="","",'Plan de Tareas'!$C69)</f>
        <v/>
      </c>
      <c r="C70" s="20" t="str">
        <f>IF('Plan de Tareas'!$C69="","",'Plan de Tareas'!$D69)</f>
        <v/>
      </c>
      <c r="D70" s="35" t="str">
        <f>IF('Plan de Tareas'!$F69="","",'Plan de Tareas'!$F69)</f>
        <v/>
      </c>
      <c r="E70" s="35" t="str">
        <f>IF('Plan de Tareas'!$G69="","",'Plan de Tareas'!$G69)</f>
        <v/>
      </c>
      <c r="F70" s="36" t="str">
        <f>IF(OR($D70="",$E70=""),"",IF(AND($D70&lt;=F$7+6,$E70&gt;=F$7),IF('Plan de Tareas'!$J69="Completada",2,1),""))</f>
        <v/>
      </c>
      <c r="G70" s="36" t="str">
        <f>IF(OR($D70="",$E70=""),"",IF(AND($D70&lt;=G$7+6,$E70&gt;=G$7),IF('Plan de Tareas'!$J69="Completada",2,1),""))</f>
        <v/>
      </c>
      <c r="H70" s="36" t="str">
        <f>IF(OR($D70="",$E70=""),"",IF(AND($D70&lt;=H$7+6,$E70&gt;=H$7),IF('Plan de Tareas'!$J69="Completada",2,1),""))</f>
        <v/>
      </c>
      <c r="I70" s="36" t="str">
        <f>IF(OR($D70="",$E70=""),"",IF(AND($D70&lt;=I$7+6,$E70&gt;=I$7),IF('Plan de Tareas'!$J69="Completada",2,1),""))</f>
        <v/>
      </c>
      <c r="J70" s="36" t="str">
        <f>IF(OR($D70="",$E70=""),"",IF(AND($D70&lt;=J$7+6,$E70&gt;=J$7),IF('Plan de Tareas'!$J69="Completada",2,1),""))</f>
        <v/>
      </c>
      <c r="K70" s="36" t="str">
        <f>IF(OR($D70="",$E70=""),"",IF(AND($D70&lt;=K$7+6,$E70&gt;=K$7),IF('Plan de Tareas'!$J69="Completada",2,1),""))</f>
        <v/>
      </c>
      <c r="L70" s="36" t="str">
        <f>IF(OR($D70="",$E70=""),"",IF(AND($D70&lt;=L$7+6,$E70&gt;=L$7),IF('Plan de Tareas'!$J69="Completada",2,1),""))</f>
        <v/>
      </c>
      <c r="M70" s="36" t="str">
        <f>IF(OR($D70="",$E70=""),"",IF(AND($D70&lt;=M$7+6,$E70&gt;=M$7),IF('Plan de Tareas'!$J69="Completada",2,1),""))</f>
        <v/>
      </c>
      <c r="N70" s="36" t="str">
        <f>IF(OR($D70="",$E70=""),"",IF(AND($D70&lt;=N$7+6,$E70&gt;=N$7),IF('Plan de Tareas'!$J69="Completada",2,1),""))</f>
        <v/>
      </c>
      <c r="O70" s="36" t="str">
        <f>IF(OR($D70="",$E70=""),"",IF(AND($D70&lt;=O$7+6,$E70&gt;=O$7),IF('Plan de Tareas'!$J69="Completada",2,1),""))</f>
        <v/>
      </c>
      <c r="P70" s="36" t="str">
        <f>IF(OR($D70="",$E70=""),"",IF(AND($D70&lt;=P$7+6,$E70&gt;=P$7),IF('Plan de Tareas'!$J69="Completada",2,1),""))</f>
        <v/>
      </c>
      <c r="Q70" s="36" t="str">
        <f>IF(OR($D70="",$E70=""),"",IF(AND($D70&lt;=Q$7+6,$E70&gt;=Q$7),IF('Plan de Tareas'!$J69="Completada",2,1),""))</f>
        <v/>
      </c>
      <c r="R70" s="36" t="str">
        <f>IF(OR($D70="",$E70=""),"",IF(AND($D70&lt;=R$7+6,$E70&gt;=R$7),IF('Plan de Tareas'!$J69="Completada",2,1),""))</f>
        <v/>
      </c>
      <c r="S70" s="36" t="str">
        <f>IF(OR($D70="",$E70=""),"",IF(AND($D70&lt;=S$7+6,$E70&gt;=S$7),IF('Plan de Tareas'!$J69="Completada",2,1),""))</f>
        <v/>
      </c>
      <c r="T70" s="36" t="str">
        <f>IF(OR($D70="",$E70=""),"",IF(AND($D70&lt;=T$7+6,$E70&gt;=T$7),IF('Plan de Tareas'!$J69="Completada",2,1),""))</f>
        <v/>
      </c>
      <c r="U70" s="36" t="str">
        <f>IF(OR($D70="",$E70=""),"",IF(AND($D70&lt;=U$7+6,$E70&gt;=U$7),IF('Plan de Tareas'!$J69="Completada",2,1),""))</f>
        <v/>
      </c>
      <c r="V70" s="36" t="str">
        <f>IF(OR($D70="",$E70=""),"",IF(AND($D70&lt;=V$7+6,$E70&gt;=V$7),IF('Plan de Tareas'!$J69="Completada",2,1),""))</f>
        <v/>
      </c>
      <c r="W70" s="36" t="str">
        <f>IF(OR($D70="",$E70=""),"",IF(AND($D70&lt;=W$7+6,$E70&gt;=W$7),IF('Plan de Tareas'!$J69="Completada",2,1),""))</f>
        <v/>
      </c>
      <c r="X70" s="36" t="str">
        <f>IF(OR($D70="",$E70=""),"",IF(AND($D70&lt;=X$7+6,$E70&gt;=X$7),IF('Plan de Tareas'!$J69="Completada",2,1),""))</f>
        <v/>
      </c>
      <c r="Y70" s="36" t="str">
        <f>IF(OR($D70="",$E70=""),"",IF(AND($D70&lt;=Y$7+6,$E70&gt;=Y$7),IF('Plan de Tareas'!$J69="Completada",2,1),""))</f>
        <v/>
      </c>
      <c r="Z70" s="36" t="str">
        <f>IF(OR($D70="",$E70=""),"",IF(AND($D70&lt;=Z$7+6,$E70&gt;=Z$7),IF('Plan de Tareas'!$J69="Completada",2,1),""))</f>
        <v/>
      </c>
      <c r="AA70" s="36" t="str">
        <f>IF(OR($D70="",$E70=""),"",IF(AND($D70&lt;=AA$7+6,$E70&gt;=AA$7),IF('Plan de Tareas'!$J69="Completada",2,1),""))</f>
        <v/>
      </c>
      <c r="AB70" s="36" t="str">
        <f>IF(OR($D70="",$E70=""),"",IF(AND($D70&lt;=AB$7+6,$E70&gt;=AB$7),IF('Plan de Tareas'!$J69="Completada",2,1),""))</f>
        <v/>
      </c>
      <c r="AC70" s="36" t="str">
        <f>IF(OR($D70="",$E70=""),"",IF(AND($D70&lt;=AC$7+6,$E70&gt;=AC$7),IF('Plan de Tareas'!$J69="Completada",2,1),""))</f>
        <v/>
      </c>
      <c r="AD70" s="36" t="str">
        <f>IF(OR($D70="",$E70=""),"",IF(AND($D70&lt;=AD$7+6,$E70&gt;=AD$7),IF('Plan de Tareas'!$J69="Completada",2,1),""))</f>
        <v/>
      </c>
      <c r="AE70" s="36" t="str">
        <f>IF(OR($D70="",$E70=""),"",IF(AND($D70&lt;=AE$7+6,$E70&gt;=AE$7),IF('Plan de Tareas'!$J69="Completada",2,1),""))</f>
        <v/>
      </c>
    </row>
    <row r="71" spans="1:31" ht="15" customHeight="1" x14ac:dyDescent="0.3">
      <c r="A71" s="37" t="str">
        <f>IF('Plan de Tareas'!$C70="","",'Plan de Tareas'!$A70)</f>
        <v/>
      </c>
      <c r="B71" s="26" t="str">
        <f>IF('Plan de Tareas'!$C70="","",'Plan de Tareas'!$C70)</f>
        <v/>
      </c>
      <c r="C71" s="26" t="str">
        <f>IF('Plan de Tareas'!$C70="","",'Plan de Tareas'!$D70)</f>
        <v/>
      </c>
      <c r="D71" s="38" t="str">
        <f>IF('Plan de Tareas'!$F70="","",'Plan de Tareas'!$F70)</f>
        <v/>
      </c>
      <c r="E71" s="38" t="str">
        <f>IF('Plan de Tareas'!$G70="","",'Plan de Tareas'!$G70)</f>
        <v/>
      </c>
      <c r="F71" s="36" t="str">
        <f>IF(OR($D71="",$E71=""),"",IF(AND($D71&lt;=F$7+6,$E71&gt;=F$7),IF('Plan de Tareas'!$J70="Completada",2,1),""))</f>
        <v/>
      </c>
      <c r="G71" s="36" t="str">
        <f>IF(OR($D71="",$E71=""),"",IF(AND($D71&lt;=G$7+6,$E71&gt;=G$7),IF('Plan de Tareas'!$J70="Completada",2,1),""))</f>
        <v/>
      </c>
      <c r="H71" s="36" t="str">
        <f>IF(OR($D71="",$E71=""),"",IF(AND($D71&lt;=H$7+6,$E71&gt;=H$7),IF('Plan de Tareas'!$J70="Completada",2,1),""))</f>
        <v/>
      </c>
      <c r="I71" s="36" t="str">
        <f>IF(OR($D71="",$E71=""),"",IF(AND($D71&lt;=I$7+6,$E71&gt;=I$7),IF('Plan de Tareas'!$J70="Completada",2,1),""))</f>
        <v/>
      </c>
      <c r="J71" s="36" t="str">
        <f>IF(OR($D71="",$E71=""),"",IF(AND($D71&lt;=J$7+6,$E71&gt;=J$7),IF('Plan de Tareas'!$J70="Completada",2,1),""))</f>
        <v/>
      </c>
      <c r="K71" s="36" t="str">
        <f>IF(OR($D71="",$E71=""),"",IF(AND($D71&lt;=K$7+6,$E71&gt;=K$7),IF('Plan de Tareas'!$J70="Completada",2,1),""))</f>
        <v/>
      </c>
      <c r="L71" s="36" t="str">
        <f>IF(OR($D71="",$E71=""),"",IF(AND($D71&lt;=L$7+6,$E71&gt;=L$7),IF('Plan de Tareas'!$J70="Completada",2,1),""))</f>
        <v/>
      </c>
      <c r="M71" s="36" t="str">
        <f>IF(OR($D71="",$E71=""),"",IF(AND($D71&lt;=M$7+6,$E71&gt;=M$7),IF('Plan de Tareas'!$J70="Completada",2,1),""))</f>
        <v/>
      </c>
      <c r="N71" s="36" t="str">
        <f>IF(OR($D71="",$E71=""),"",IF(AND($D71&lt;=N$7+6,$E71&gt;=N$7),IF('Plan de Tareas'!$J70="Completada",2,1),""))</f>
        <v/>
      </c>
      <c r="O71" s="36" t="str">
        <f>IF(OR($D71="",$E71=""),"",IF(AND($D71&lt;=O$7+6,$E71&gt;=O$7),IF('Plan de Tareas'!$J70="Completada",2,1),""))</f>
        <v/>
      </c>
      <c r="P71" s="36" t="str">
        <f>IF(OR($D71="",$E71=""),"",IF(AND($D71&lt;=P$7+6,$E71&gt;=P$7),IF('Plan de Tareas'!$J70="Completada",2,1),""))</f>
        <v/>
      </c>
      <c r="Q71" s="36" t="str">
        <f>IF(OR($D71="",$E71=""),"",IF(AND($D71&lt;=Q$7+6,$E71&gt;=Q$7),IF('Plan de Tareas'!$J70="Completada",2,1),""))</f>
        <v/>
      </c>
      <c r="R71" s="36" t="str">
        <f>IF(OR($D71="",$E71=""),"",IF(AND($D71&lt;=R$7+6,$E71&gt;=R$7),IF('Plan de Tareas'!$J70="Completada",2,1),""))</f>
        <v/>
      </c>
      <c r="S71" s="36" t="str">
        <f>IF(OR($D71="",$E71=""),"",IF(AND($D71&lt;=S$7+6,$E71&gt;=S$7),IF('Plan de Tareas'!$J70="Completada",2,1),""))</f>
        <v/>
      </c>
      <c r="T71" s="36" t="str">
        <f>IF(OR($D71="",$E71=""),"",IF(AND($D71&lt;=T$7+6,$E71&gt;=T$7),IF('Plan de Tareas'!$J70="Completada",2,1),""))</f>
        <v/>
      </c>
      <c r="U71" s="36" t="str">
        <f>IF(OR($D71="",$E71=""),"",IF(AND($D71&lt;=U$7+6,$E71&gt;=U$7),IF('Plan de Tareas'!$J70="Completada",2,1),""))</f>
        <v/>
      </c>
      <c r="V71" s="36" t="str">
        <f>IF(OR($D71="",$E71=""),"",IF(AND($D71&lt;=V$7+6,$E71&gt;=V$7),IF('Plan de Tareas'!$J70="Completada",2,1),""))</f>
        <v/>
      </c>
      <c r="W71" s="36" t="str">
        <f>IF(OR($D71="",$E71=""),"",IF(AND($D71&lt;=W$7+6,$E71&gt;=W$7),IF('Plan de Tareas'!$J70="Completada",2,1),""))</f>
        <v/>
      </c>
      <c r="X71" s="36" t="str">
        <f>IF(OR($D71="",$E71=""),"",IF(AND($D71&lt;=X$7+6,$E71&gt;=X$7),IF('Plan de Tareas'!$J70="Completada",2,1),""))</f>
        <v/>
      </c>
      <c r="Y71" s="36" t="str">
        <f>IF(OR($D71="",$E71=""),"",IF(AND($D71&lt;=Y$7+6,$E71&gt;=Y$7),IF('Plan de Tareas'!$J70="Completada",2,1),""))</f>
        <v/>
      </c>
      <c r="Z71" s="36" t="str">
        <f>IF(OR($D71="",$E71=""),"",IF(AND($D71&lt;=Z$7+6,$E71&gt;=Z$7),IF('Plan de Tareas'!$J70="Completada",2,1),""))</f>
        <v/>
      </c>
      <c r="AA71" s="36" t="str">
        <f>IF(OR($D71="",$E71=""),"",IF(AND($D71&lt;=AA$7+6,$E71&gt;=AA$7),IF('Plan de Tareas'!$J70="Completada",2,1),""))</f>
        <v/>
      </c>
      <c r="AB71" s="36" t="str">
        <f>IF(OR($D71="",$E71=""),"",IF(AND($D71&lt;=AB$7+6,$E71&gt;=AB$7),IF('Plan de Tareas'!$J70="Completada",2,1),""))</f>
        <v/>
      </c>
      <c r="AC71" s="36" t="str">
        <f>IF(OR($D71="",$E71=""),"",IF(AND($D71&lt;=AC$7+6,$E71&gt;=AC$7),IF('Plan de Tareas'!$J70="Completada",2,1),""))</f>
        <v/>
      </c>
      <c r="AD71" s="36" t="str">
        <f>IF(OR($D71="",$E71=""),"",IF(AND($D71&lt;=AD$7+6,$E71&gt;=AD$7),IF('Plan de Tareas'!$J70="Completada",2,1),""))</f>
        <v/>
      </c>
      <c r="AE71" s="36" t="str">
        <f>IF(OR($D71="",$E71=""),"",IF(AND($D71&lt;=AE$7+6,$E71&gt;=AE$7),IF('Plan de Tareas'!$J70="Completada",2,1),""))</f>
        <v/>
      </c>
    </row>
    <row r="72" spans="1:31" ht="15" customHeight="1" x14ac:dyDescent="0.3">
      <c r="A72" s="34" t="str">
        <f>IF('Plan de Tareas'!$C71="","",'Plan de Tareas'!$A71)</f>
        <v/>
      </c>
      <c r="B72" s="20" t="str">
        <f>IF('Plan de Tareas'!$C71="","",'Plan de Tareas'!$C71)</f>
        <v/>
      </c>
      <c r="C72" s="20" t="str">
        <f>IF('Plan de Tareas'!$C71="","",'Plan de Tareas'!$D71)</f>
        <v/>
      </c>
      <c r="D72" s="35" t="str">
        <f>IF('Plan de Tareas'!$F71="","",'Plan de Tareas'!$F71)</f>
        <v/>
      </c>
      <c r="E72" s="35" t="str">
        <f>IF('Plan de Tareas'!$G71="","",'Plan de Tareas'!$G71)</f>
        <v/>
      </c>
      <c r="F72" s="36" t="str">
        <f>IF(OR($D72="",$E72=""),"",IF(AND($D72&lt;=F$7+6,$E72&gt;=F$7),IF('Plan de Tareas'!$J71="Completada",2,1),""))</f>
        <v/>
      </c>
      <c r="G72" s="36" t="str">
        <f>IF(OR($D72="",$E72=""),"",IF(AND($D72&lt;=G$7+6,$E72&gt;=G$7),IF('Plan de Tareas'!$J71="Completada",2,1),""))</f>
        <v/>
      </c>
      <c r="H72" s="36" t="str">
        <f>IF(OR($D72="",$E72=""),"",IF(AND($D72&lt;=H$7+6,$E72&gt;=H$7),IF('Plan de Tareas'!$J71="Completada",2,1),""))</f>
        <v/>
      </c>
      <c r="I72" s="36" t="str">
        <f>IF(OR($D72="",$E72=""),"",IF(AND($D72&lt;=I$7+6,$E72&gt;=I$7),IF('Plan de Tareas'!$J71="Completada",2,1),""))</f>
        <v/>
      </c>
      <c r="J72" s="36" t="str">
        <f>IF(OR($D72="",$E72=""),"",IF(AND($D72&lt;=J$7+6,$E72&gt;=J$7),IF('Plan de Tareas'!$J71="Completada",2,1),""))</f>
        <v/>
      </c>
      <c r="K72" s="36" t="str">
        <f>IF(OR($D72="",$E72=""),"",IF(AND($D72&lt;=K$7+6,$E72&gt;=K$7),IF('Plan de Tareas'!$J71="Completada",2,1),""))</f>
        <v/>
      </c>
      <c r="L72" s="36" t="str">
        <f>IF(OR($D72="",$E72=""),"",IF(AND($D72&lt;=L$7+6,$E72&gt;=L$7),IF('Plan de Tareas'!$J71="Completada",2,1),""))</f>
        <v/>
      </c>
      <c r="M72" s="36" t="str">
        <f>IF(OR($D72="",$E72=""),"",IF(AND($D72&lt;=M$7+6,$E72&gt;=M$7),IF('Plan de Tareas'!$J71="Completada",2,1),""))</f>
        <v/>
      </c>
      <c r="N72" s="36" t="str">
        <f>IF(OR($D72="",$E72=""),"",IF(AND($D72&lt;=N$7+6,$E72&gt;=N$7),IF('Plan de Tareas'!$J71="Completada",2,1),""))</f>
        <v/>
      </c>
      <c r="O72" s="36" t="str">
        <f>IF(OR($D72="",$E72=""),"",IF(AND($D72&lt;=O$7+6,$E72&gt;=O$7),IF('Plan de Tareas'!$J71="Completada",2,1),""))</f>
        <v/>
      </c>
      <c r="P72" s="36" t="str">
        <f>IF(OR($D72="",$E72=""),"",IF(AND($D72&lt;=P$7+6,$E72&gt;=P$7),IF('Plan de Tareas'!$J71="Completada",2,1),""))</f>
        <v/>
      </c>
      <c r="Q72" s="36" t="str">
        <f>IF(OR($D72="",$E72=""),"",IF(AND($D72&lt;=Q$7+6,$E72&gt;=Q$7),IF('Plan de Tareas'!$J71="Completada",2,1),""))</f>
        <v/>
      </c>
      <c r="R72" s="36" t="str">
        <f>IF(OR($D72="",$E72=""),"",IF(AND($D72&lt;=R$7+6,$E72&gt;=R$7),IF('Plan de Tareas'!$J71="Completada",2,1),""))</f>
        <v/>
      </c>
      <c r="S72" s="36" t="str">
        <f>IF(OR($D72="",$E72=""),"",IF(AND($D72&lt;=S$7+6,$E72&gt;=S$7),IF('Plan de Tareas'!$J71="Completada",2,1),""))</f>
        <v/>
      </c>
      <c r="T72" s="36" t="str">
        <f>IF(OR($D72="",$E72=""),"",IF(AND($D72&lt;=T$7+6,$E72&gt;=T$7),IF('Plan de Tareas'!$J71="Completada",2,1),""))</f>
        <v/>
      </c>
      <c r="U72" s="36" t="str">
        <f>IF(OR($D72="",$E72=""),"",IF(AND($D72&lt;=U$7+6,$E72&gt;=U$7),IF('Plan de Tareas'!$J71="Completada",2,1),""))</f>
        <v/>
      </c>
      <c r="V72" s="36" t="str">
        <f>IF(OR($D72="",$E72=""),"",IF(AND($D72&lt;=V$7+6,$E72&gt;=V$7),IF('Plan de Tareas'!$J71="Completada",2,1),""))</f>
        <v/>
      </c>
      <c r="W72" s="36" t="str">
        <f>IF(OR($D72="",$E72=""),"",IF(AND($D72&lt;=W$7+6,$E72&gt;=W$7),IF('Plan de Tareas'!$J71="Completada",2,1),""))</f>
        <v/>
      </c>
      <c r="X72" s="36" t="str">
        <f>IF(OR($D72="",$E72=""),"",IF(AND($D72&lt;=X$7+6,$E72&gt;=X$7),IF('Plan de Tareas'!$J71="Completada",2,1),""))</f>
        <v/>
      </c>
      <c r="Y72" s="36" t="str">
        <f>IF(OR($D72="",$E72=""),"",IF(AND($D72&lt;=Y$7+6,$E72&gt;=Y$7),IF('Plan de Tareas'!$J71="Completada",2,1),""))</f>
        <v/>
      </c>
      <c r="Z72" s="36" t="str">
        <f>IF(OR($D72="",$E72=""),"",IF(AND($D72&lt;=Z$7+6,$E72&gt;=Z$7),IF('Plan de Tareas'!$J71="Completada",2,1),""))</f>
        <v/>
      </c>
      <c r="AA72" s="36" t="str">
        <f>IF(OR($D72="",$E72=""),"",IF(AND($D72&lt;=AA$7+6,$E72&gt;=AA$7),IF('Plan de Tareas'!$J71="Completada",2,1),""))</f>
        <v/>
      </c>
      <c r="AB72" s="36" t="str">
        <f>IF(OR($D72="",$E72=""),"",IF(AND($D72&lt;=AB$7+6,$E72&gt;=AB$7),IF('Plan de Tareas'!$J71="Completada",2,1),""))</f>
        <v/>
      </c>
      <c r="AC72" s="36" t="str">
        <f>IF(OR($D72="",$E72=""),"",IF(AND($D72&lt;=AC$7+6,$E72&gt;=AC$7),IF('Plan de Tareas'!$J71="Completada",2,1),""))</f>
        <v/>
      </c>
      <c r="AD72" s="36" t="str">
        <f>IF(OR($D72="",$E72=""),"",IF(AND($D72&lt;=AD$7+6,$E72&gt;=AD$7),IF('Plan de Tareas'!$J71="Completada",2,1),""))</f>
        <v/>
      </c>
      <c r="AE72" s="36" t="str">
        <f>IF(OR($D72="",$E72=""),"",IF(AND($D72&lt;=AE$7+6,$E72&gt;=AE$7),IF('Plan de Tareas'!$J71="Completada",2,1),""))</f>
        <v/>
      </c>
    </row>
    <row r="73" spans="1:31" ht="15" customHeight="1" x14ac:dyDescent="0.3">
      <c r="A73" s="37" t="str">
        <f>IF('Plan de Tareas'!$C72="","",'Plan de Tareas'!$A72)</f>
        <v/>
      </c>
      <c r="B73" s="26" t="str">
        <f>IF('Plan de Tareas'!$C72="","",'Plan de Tareas'!$C72)</f>
        <v/>
      </c>
      <c r="C73" s="26" t="str">
        <f>IF('Plan de Tareas'!$C72="","",'Plan de Tareas'!$D72)</f>
        <v/>
      </c>
      <c r="D73" s="38" t="str">
        <f>IF('Plan de Tareas'!$F72="","",'Plan de Tareas'!$F72)</f>
        <v/>
      </c>
      <c r="E73" s="38" t="str">
        <f>IF('Plan de Tareas'!$G72="","",'Plan de Tareas'!$G72)</f>
        <v/>
      </c>
      <c r="F73" s="36" t="str">
        <f>IF(OR($D73="",$E73=""),"",IF(AND($D73&lt;=F$7+6,$E73&gt;=F$7),IF('Plan de Tareas'!$J72="Completada",2,1),""))</f>
        <v/>
      </c>
      <c r="G73" s="36" t="str">
        <f>IF(OR($D73="",$E73=""),"",IF(AND($D73&lt;=G$7+6,$E73&gt;=G$7),IF('Plan de Tareas'!$J72="Completada",2,1),""))</f>
        <v/>
      </c>
      <c r="H73" s="36" t="str">
        <f>IF(OR($D73="",$E73=""),"",IF(AND($D73&lt;=H$7+6,$E73&gt;=H$7),IF('Plan de Tareas'!$J72="Completada",2,1),""))</f>
        <v/>
      </c>
      <c r="I73" s="36" t="str">
        <f>IF(OR($D73="",$E73=""),"",IF(AND($D73&lt;=I$7+6,$E73&gt;=I$7),IF('Plan de Tareas'!$J72="Completada",2,1),""))</f>
        <v/>
      </c>
      <c r="J73" s="36" t="str">
        <f>IF(OR($D73="",$E73=""),"",IF(AND($D73&lt;=J$7+6,$E73&gt;=J$7),IF('Plan de Tareas'!$J72="Completada",2,1),""))</f>
        <v/>
      </c>
      <c r="K73" s="36" t="str">
        <f>IF(OR($D73="",$E73=""),"",IF(AND($D73&lt;=K$7+6,$E73&gt;=K$7),IF('Plan de Tareas'!$J72="Completada",2,1),""))</f>
        <v/>
      </c>
      <c r="L73" s="36" t="str">
        <f>IF(OR($D73="",$E73=""),"",IF(AND($D73&lt;=L$7+6,$E73&gt;=L$7),IF('Plan de Tareas'!$J72="Completada",2,1),""))</f>
        <v/>
      </c>
      <c r="M73" s="36" t="str">
        <f>IF(OR($D73="",$E73=""),"",IF(AND($D73&lt;=M$7+6,$E73&gt;=M$7),IF('Plan de Tareas'!$J72="Completada",2,1),""))</f>
        <v/>
      </c>
      <c r="N73" s="36" t="str">
        <f>IF(OR($D73="",$E73=""),"",IF(AND($D73&lt;=N$7+6,$E73&gt;=N$7),IF('Plan de Tareas'!$J72="Completada",2,1),""))</f>
        <v/>
      </c>
      <c r="O73" s="36" t="str">
        <f>IF(OR($D73="",$E73=""),"",IF(AND($D73&lt;=O$7+6,$E73&gt;=O$7),IF('Plan de Tareas'!$J72="Completada",2,1),""))</f>
        <v/>
      </c>
      <c r="P73" s="36" t="str">
        <f>IF(OR($D73="",$E73=""),"",IF(AND($D73&lt;=P$7+6,$E73&gt;=P$7),IF('Plan de Tareas'!$J72="Completada",2,1),""))</f>
        <v/>
      </c>
      <c r="Q73" s="36" t="str">
        <f>IF(OR($D73="",$E73=""),"",IF(AND($D73&lt;=Q$7+6,$E73&gt;=Q$7),IF('Plan de Tareas'!$J72="Completada",2,1),""))</f>
        <v/>
      </c>
      <c r="R73" s="36" t="str">
        <f>IF(OR($D73="",$E73=""),"",IF(AND($D73&lt;=R$7+6,$E73&gt;=R$7),IF('Plan de Tareas'!$J72="Completada",2,1),""))</f>
        <v/>
      </c>
      <c r="S73" s="36" t="str">
        <f>IF(OR($D73="",$E73=""),"",IF(AND($D73&lt;=S$7+6,$E73&gt;=S$7),IF('Plan de Tareas'!$J72="Completada",2,1),""))</f>
        <v/>
      </c>
      <c r="T73" s="36" t="str">
        <f>IF(OR($D73="",$E73=""),"",IF(AND($D73&lt;=T$7+6,$E73&gt;=T$7),IF('Plan de Tareas'!$J72="Completada",2,1),""))</f>
        <v/>
      </c>
      <c r="U73" s="36" t="str">
        <f>IF(OR($D73="",$E73=""),"",IF(AND($D73&lt;=U$7+6,$E73&gt;=U$7),IF('Plan de Tareas'!$J72="Completada",2,1),""))</f>
        <v/>
      </c>
      <c r="V73" s="36" t="str">
        <f>IF(OR($D73="",$E73=""),"",IF(AND($D73&lt;=V$7+6,$E73&gt;=V$7),IF('Plan de Tareas'!$J72="Completada",2,1),""))</f>
        <v/>
      </c>
      <c r="W73" s="36" t="str">
        <f>IF(OR($D73="",$E73=""),"",IF(AND($D73&lt;=W$7+6,$E73&gt;=W$7),IF('Plan de Tareas'!$J72="Completada",2,1),""))</f>
        <v/>
      </c>
      <c r="X73" s="36" t="str">
        <f>IF(OR($D73="",$E73=""),"",IF(AND($D73&lt;=X$7+6,$E73&gt;=X$7),IF('Plan de Tareas'!$J72="Completada",2,1),""))</f>
        <v/>
      </c>
      <c r="Y73" s="36" t="str">
        <f>IF(OR($D73="",$E73=""),"",IF(AND($D73&lt;=Y$7+6,$E73&gt;=Y$7),IF('Plan de Tareas'!$J72="Completada",2,1),""))</f>
        <v/>
      </c>
      <c r="Z73" s="36" t="str">
        <f>IF(OR($D73="",$E73=""),"",IF(AND($D73&lt;=Z$7+6,$E73&gt;=Z$7),IF('Plan de Tareas'!$J72="Completada",2,1),""))</f>
        <v/>
      </c>
      <c r="AA73" s="36" t="str">
        <f>IF(OR($D73="",$E73=""),"",IF(AND($D73&lt;=AA$7+6,$E73&gt;=AA$7),IF('Plan de Tareas'!$J72="Completada",2,1),""))</f>
        <v/>
      </c>
      <c r="AB73" s="36" t="str">
        <f>IF(OR($D73="",$E73=""),"",IF(AND($D73&lt;=AB$7+6,$E73&gt;=AB$7),IF('Plan de Tareas'!$J72="Completada",2,1),""))</f>
        <v/>
      </c>
      <c r="AC73" s="36" t="str">
        <f>IF(OR($D73="",$E73=""),"",IF(AND($D73&lt;=AC$7+6,$E73&gt;=AC$7),IF('Plan de Tareas'!$J72="Completada",2,1),""))</f>
        <v/>
      </c>
      <c r="AD73" s="36" t="str">
        <f>IF(OR($D73="",$E73=""),"",IF(AND($D73&lt;=AD$7+6,$E73&gt;=AD$7),IF('Plan de Tareas'!$J72="Completada",2,1),""))</f>
        <v/>
      </c>
      <c r="AE73" s="36" t="str">
        <f>IF(OR($D73="",$E73=""),"",IF(AND($D73&lt;=AE$7+6,$E73&gt;=AE$7),IF('Plan de Tareas'!$J72="Completada",2,1),""))</f>
        <v/>
      </c>
    </row>
    <row r="74" spans="1:31" ht="15" customHeight="1" x14ac:dyDescent="0.3">
      <c r="A74" s="34" t="str">
        <f>IF('Plan de Tareas'!$C73="","",'Plan de Tareas'!$A73)</f>
        <v/>
      </c>
      <c r="B74" s="20" t="str">
        <f>IF('Plan de Tareas'!$C73="","",'Plan de Tareas'!$C73)</f>
        <v/>
      </c>
      <c r="C74" s="20" t="str">
        <f>IF('Plan de Tareas'!$C73="","",'Plan de Tareas'!$D73)</f>
        <v/>
      </c>
      <c r="D74" s="35" t="str">
        <f>IF('Plan de Tareas'!$F73="","",'Plan de Tareas'!$F73)</f>
        <v/>
      </c>
      <c r="E74" s="35" t="str">
        <f>IF('Plan de Tareas'!$G73="","",'Plan de Tareas'!$G73)</f>
        <v/>
      </c>
      <c r="F74" s="36" t="str">
        <f>IF(OR($D74="",$E74=""),"",IF(AND($D74&lt;=F$7+6,$E74&gt;=F$7),IF('Plan de Tareas'!$J73="Completada",2,1),""))</f>
        <v/>
      </c>
      <c r="G74" s="36" t="str">
        <f>IF(OR($D74="",$E74=""),"",IF(AND($D74&lt;=G$7+6,$E74&gt;=G$7),IF('Plan de Tareas'!$J73="Completada",2,1),""))</f>
        <v/>
      </c>
      <c r="H74" s="36" t="str">
        <f>IF(OR($D74="",$E74=""),"",IF(AND($D74&lt;=H$7+6,$E74&gt;=H$7),IF('Plan de Tareas'!$J73="Completada",2,1),""))</f>
        <v/>
      </c>
      <c r="I74" s="36" t="str">
        <f>IF(OR($D74="",$E74=""),"",IF(AND($D74&lt;=I$7+6,$E74&gt;=I$7),IF('Plan de Tareas'!$J73="Completada",2,1),""))</f>
        <v/>
      </c>
      <c r="J74" s="36" t="str">
        <f>IF(OR($D74="",$E74=""),"",IF(AND($D74&lt;=J$7+6,$E74&gt;=J$7),IF('Plan de Tareas'!$J73="Completada",2,1),""))</f>
        <v/>
      </c>
      <c r="K74" s="36" t="str">
        <f>IF(OR($D74="",$E74=""),"",IF(AND($D74&lt;=K$7+6,$E74&gt;=K$7),IF('Plan de Tareas'!$J73="Completada",2,1),""))</f>
        <v/>
      </c>
      <c r="L74" s="36" t="str">
        <f>IF(OR($D74="",$E74=""),"",IF(AND($D74&lt;=L$7+6,$E74&gt;=L$7),IF('Plan de Tareas'!$J73="Completada",2,1),""))</f>
        <v/>
      </c>
      <c r="M74" s="36" t="str">
        <f>IF(OR($D74="",$E74=""),"",IF(AND($D74&lt;=M$7+6,$E74&gt;=M$7),IF('Plan de Tareas'!$J73="Completada",2,1),""))</f>
        <v/>
      </c>
      <c r="N74" s="36" t="str">
        <f>IF(OR($D74="",$E74=""),"",IF(AND($D74&lt;=N$7+6,$E74&gt;=N$7),IF('Plan de Tareas'!$J73="Completada",2,1),""))</f>
        <v/>
      </c>
      <c r="O74" s="36" t="str">
        <f>IF(OR($D74="",$E74=""),"",IF(AND($D74&lt;=O$7+6,$E74&gt;=O$7),IF('Plan de Tareas'!$J73="Completada",2,1),""))</f>
        <v/>
      </c>
      <c r="P74" s="36" t="str">
        <f>IF(OR($D74="",$E74=""),"",IF(AND($D74&lt;=P$7+6,$E74&gt;=P$7),IF('Plan de Tareas'!$J73="Completada",2,1),""))</f>
        <v/>
      </c>
      <c r="Q74" s="36" t="str">
        <f>IF(OR($D74="",$E74=""),"",IF(AND($D74&lt;=Q$7+6,$E74&gt;=Q$7),IF('Plan de Tareas'!$J73="Completada",2,1),""))</f>
        <v/>
      </c>
      <c r="R74" s="36" t="str">
        <f>IF(OR($D74="",$E74=""),"",IF(AND($D74&lt;=R$7+6,$E74&gt;=R$7),IF('Plan de Tareas'!$J73="Completada",2,1),""))</f>
        <v/>
      </c>
      <c r="S74" s="36" t="str">
        <f>IF(OR($D74="",$E74=""),"",IF(AND($D74&lt;=S$7+6,$E74&gt;=S$7),IF('Plan de Tareas'!$J73="Completada",2,1),""))</f>
        <v/>
      </c>
      <c r="T74" s="36" t="str">
        <f>IF(OR($D74="",$E74=""),"",IF(AND($D74&lt;=T$7+6,$E74&gt;=T$7),IF('Plan de Tareas'!$J73="Completada",2,1),""))</f>
        <v/>
      </c>
      <c r="U74" s="36" t="str">
        <f>IF(OR($D74="",$E74=""),"",IF(AND($D74&lt;=U$7+6,$E74&gt;=U$7),IF('Plan de Tareas'!$J73="Completada",2,1),""))</f>
        <v/>
      </c>
      <c r="V74" s="36" t="str">
        <f>IF(OR($D74="",$E74=""),"",IF(AND($D74&lt;=V$7+6,$E74&gt;=V$7),IF('Plan de Tareas'!$J73="Completada",2,1),""))</f>
        <v/>
      </c>
      <c r="W74" s="36" t="str">
        <f>IF(OR($D74="",$E74=""),"",IF(AND($D74&lt;=W$7+6,$E74&gt;=W$7),IF('Plan de Tareas'!$J73="Completada",2,1),""))</f>
        <v/>
      </c>
      <c r="X74" s="36" t="str">
        <f>IF(OR($D74="",$E74=""),"",IF(AND($D74&lt;=X$7+6,$E74&gt;=X$7),IF('Plan de Tareas'!$J73="Completada",2,1),""))</f>
        <v/>
      </c>
      <c r="Y74" s="36" t="str">
        <f>IF(OR($D74="",$E74=""),"",IF(AND($D74&lt;=Y$7+6,$E74&gt;=Y$7),IF('Plan de Tareas'!$J73="Completada",2,1),""))</f>
        <v/>
      </c>
      <c r="Z74" s="36" t="str">
        <f>IF(OR($D74="",$E74=""),"",IF(AND($D74&lt;=Z$7+6,$E74&gt;=Z$7),IF('Plan de Tareas'!$J73="Completada",2,1),""))</f>
        <v/>
      </c>
      <c r="AA74" s="36" t="str">
        <f>IF(OR($D74="",$E74=""),"",IF(AND($D74&lt;=AA$7+6,$E74&gt;=AA$7),IF('Plan de Tareas'!$J73="Completada",2,1),""))</f>
        <v/>
      </c>
      <c r="AB74" s="36" t="str">
        <f>IF(OR($D74="",$E74=""),"",IF(AND($D74&lt;=AB$7+6,$E74&gt;=AB$7),IF('Plan de Tareas'!$J73="Completada",2,1),""))</f>
        <v/>
      </c>
      <c r="AC74" s="36" t="str">
        <f>IF(OR($D74="",$E74=""),"",IF(AND($D74&lt;=AC$7+6,$E74&gt;=AC$7),IF('Plan de Tareas'!$J73="Completada",2,1),""))</f>
        <v/>
      </c>
      <c r="AD74" s="36" t="str">
        <f>IF(OR($D74="",$E74=""),"",IF(AND($D74&lt;=AD$7+6,$E74&gt;=AD$7),IF('Plan de Tareas'!$J73="Completada",2,1),""))</f>
        <v/>
      </c>
      <c r="AE74" s="36" t="str">
        <f>IF(OR($D74="",$E74=""),"",IF(AND($D74&lt;=AE$7+6,$E74&gt;=AE$7),IF('Plan de Tareas'!$J73="Completada",2,1),""))</f>
        <v/>
      </c>
    </row>
    <row r="75" spans="1:31" ht="15" customHeight="1" x14ac:dyDescent="0.3">
      <c r="A75" s="37" t="str">
        <f>IF('Plan de Tareas'!$C74="","",'Plan de Tareas'!$A74)</f>
        <v/>
      </c>
      <c r="B75" s="26" t="str">
        <f>IF('Plan de Tareas'!$C74="","",'Plan de Tareas'!$C74)</f>
        <v/>
      </c>
      <c r="C75" s="26" t="str">
        <f>IF('Plan de Tareas'!$C74="","",'Plan de Tareas'!$D74)</f>
        <v/>
      </c>
      <c r="D75" s="38" t="str">
        <f>IF('Plan de Tareas'!$F74="","",'Plan de Tareas'!$F74)</f>
        <v/>
      </c>
      <c r="E75" s="38" t="str">
        <f>IF('Plan de Tareas'!$G74="","",'Plan de Tareas'!$G74)</f>
        <v/>
      </c>
      <c r="F75" s="36" t="str">
        <f>IF(OR($D75="",$E75=""),"",IF(AND($D75&lt;=F$7+6,$E75&gt;=F$7),IF('Plan de Tareas'!$J74="Completada",2,1),""))</f>
        <v/>
      </c>
      <c r="G75" s="36" t="str">
        <f>IF(OR($D75="",$E75=""),"",IF(AND($D75&lt;=G$7+6,$E75&gt;=G$7),IF('Plan de Tareas'!$J74="Completada",2,1),""))</f>
        <v/>
      </c>
      <c r="H75" s="36" t="str">
        <f>IF(OR($D75="",$E75=""),"",IF(AND($D75&lt;=H$7+6,$E75&gt;=H$7),IF('Plan de Tareas'!$J74="Completada",2,1),""))</f>
        <v/>
      </c>
      <c r="I75" s="36" t="str">
        <f>IF(OR($D75="",$E75=""),"",IF(AND($D75&lt;=I$7+6,$E75&gt;=I$7),IF('Plan de Tareas'!$J74="Completada",2,1),""))</f>
        <v/>
      </c>
      <c r="J75" s="36" t="str">
        <f>IF(OR($D75="",$E75=""),"",IF(AND($D75&lt;=J$7+6,$E75&gt;=J$7),IF('Plan de Tareas'!$J74="Completada",2,1),""))</f>
        <v/>
      </c>
      <c r="K75" s="36" t="str">
        <f>IF(OR($D75="",$E75=""),"",IF(AND($D75&lt;=K$7+6,$E75&gt;=K$7),IF('Plan de Tareas'!$J74="Completada",2,1),""))</f>
        <v/>
      </c>
      <c r="L75" s="36" t="str">
        <f>IF(OR($D75="",$E75=""),"",IF(AND($D75&lt;=L$7+6,$E75&gt;=L$7),IF('Plan de Tareas'!$J74="Completada",2,1),""))</f>
        <v/>
      </c>
      <c r="M75" s="36" t="str">
        <f>IF(OR($D75="",$E75=""),"",IF(AND($D75&lt;=M$7+6,$E75&gt;=M$7),IF('Plan de Tareas'!$J74="Completada",2,1),""))</f>
        <v/>
      </c>
      <c r="N75" s="36" t="str">
        <f>IF(OR($D75="",$E75=""),"",IF(AND($D75&lt;=N$7+6,$E75&gt;=N$7),IF('Plan de Tareas'!$J74="Completada",2,1),""))</f>
        <v/>
      </c>
      <c r="O75" s="36" t="str">
        <f>IF(OR($D75="",$E75=""),"",IF(AND($D75&lt;=O$7+6,$E75&gt;=O$7),IF('Plan de Tareas'!$J74="Completada",2,1),""))</f>
        <v/>
      </c>
      <c r="P75" s="36" t="str">
        <f>IF(OR($D75="",$E75=""),"",IF(AND($D75&lt;=P$7+6,$E75&gt;=P$7),IF('Plan de Tareas'!$J74="Completada",2,1),""))</f>
        <v/>
      </c>
      <c r="Q75" s="36" t="str">
        <f>IF(OR($D75="",$E75=""),"",IF(AND($D75&lt;=Q$7+6,$E75&gt;=Q$7),IF('Plan de Tareas'!$J74="Completada",2,1),""))</f>
        <v/>
      </c>
      <c r="R75" s="36" t="str">
        <f>IF(OR($D75="",$E75=""),"",IF(AND($D75&lt;=R$7+6,$E75&gt;=R$7),IF('Plan de Tareas'!$J74="Completada",2,1),""))</f>
        <v/>
      </c>
      <c r="S75" s="36" t="str">
        <f>IF(OR($D75="",$E75=""),"",IF(AND($D75&lt;=S$7+6,$E75&gt;=S$7),IF('Plan de Tareas'!$J74="Completada",2,1),""))</f>
        <v/>
      </c>
      <c r="T75" s="36" t="str">
        <f>IF(OR($D75="",$E75=""),"",IF(AND($D75&lt;=T$7+6,$E75&gt;=T$7),IF('Plan de Tareas'!$J74="Completada",2,1),""))</f>
        <v/>
      </c>
      <c r="U75" s="36" t="str">
        <f>IF(OR($D75="",$E75=""),"",IF(AND($D75&lt;=U$7+6,$E75&gt;=U$7),IF('Plan de Tareas'!$J74="Completada",2,1),""))</f>
        <v/>
      </c>
      <c r="V75" s="36" t="str">
        <f>IF(OR($D75="",$E75=""),"",IF(AND($D75&lt;=V$7+6,$E75&gt;=V$7),IF('Plan de Tareas'!$J74="Completada",2,1),""))</f>
        <v/>
      </c>
      <c r="W75" s="36" t="str">
        <f>IF(OR($D75="",$E75=""),"",IF(AND($D75&lt;=W$7+6,$E75&gt;=W$7),IF('Plan de Tareas'!$J74="Completada",2,1),""))</f>
        <v/>
      </c>
      <c r="X75" s="36" t="str">
        <f>IF(OR($D75="",$E75=""),"",IF(AND($D75&lt;=X$7+6,$E75&gt;=X$7),IF('Plan de Tareas'!$J74="Completada",2,1),""))</f>
        <v/>
      </c>
      <c r="Y75" s="36" t="str">
        <f>IF(OR($D75="",$E75=""),"",IF(AND($D75&lt;=Y$7+6,$E75&gt;=Y$7),IF('Plan de Tareas'!$J74="Completada",2,1),""))</f>
        <v/>
      </c>
      <c r="Z75" s="36" t="str">
        <f>IF(OR($D75="",$E75=""),"",IF(AND($D75&lt;=Z$7+6,$E75&gt;=Z$7),IF('Plan de Tareas'!$J74="Completada",2,1),""))</f>
        <v/>
      </c>
      <c r="AA75" s="36" t="str">
        <f>IF(OR($D75="",$E75=""),"",IF(AND($D75&lt;=AA$7+6,$E75&gt;=AA$7),IF('Plan de Tareas'!$J74="Completada",2,1),""))</f>
        <v/>
      </c>
      <c r="AB75" s="36" t="str">
        <f>IF(OR($D75="",$E75=""),"",IF(AND($D75&lt;=AB$7+6,$E75&gt;=AB$7),IF('Plan de Tareas'!$J74="Completada",2,1),""))</f>
        <v/>
      </c>
      <c r="AC75" s="36" t="str">
        <f>IF(OR($D75="",$E75=""),"",IF(AND($D75&lt;=AC$7+6,$E75&gt;=AC$7),IF('Plan de Tareas'!$J74="Completada",2,1),""))</f>
        <v/>
      </c>
      <c r="AD75" s="36" t="str">
        <f>IF(OR($D75="",$E75=""),"",IF(AND($D75&lt;=AD$7+6,$E75&gt;=AD$7),IF('Plan de Tareas'!$J74="Completada",2,1),""))</f>
        <v/>
      </c>
      <c r="AE75" s="36" t="str">
        <f>IF(OR($D75="",$E75=""),"",IF(AND($D75&lt;=AE$7+6,$E75&gt;=AE$7),IF('Plan de Tareas'!$J74="Completada",2,1),""))</f>
        <v/>
      </c>
    </row>
    <row r="76" spans="1:31" ht="15" customHeight="1" x14ac:dyDescent="0.3">
      <c r="A76" s="34" t="str">
        <f>IF('Plan de Tareas'!$C75="","",'Plan de Tareas'!$A75)</f>
        <v/>
      </c>
      <c r="B76" s="20" t="str">
        <f>IF('Plan de Tareas'!$C75="","",'Plan de Tareas'!$C75)</f>
        <v/>
      </c>
      <c r="C76" s="20" t="str">
        <f>IF('Plan de Tareas'!$C75="","",'Plan de Tareas'!$D75)</f>
        <v/>
      </c>
      <c r="D76" s="35" t="str">
        <f>IF('Plan de Tareas'!$F75="","",'Plan de Tareas'!$F75)</f>
        <v/>
      </c>
      <c r="E76" s="35" t="str">
        <f>IF('Plan de Tareas'!$G75="","",'Plan de Tareas'!$G75)</f>
        <v/>
      </c>
      <c r="F76" s="36" t="str">
        <f>IF(OR($D76="",$E76=""),"",IF(AND($D76&lt;=F$7+6,$E76&gt;=F$7),IF('Plan de Tareas'!$J75="Completada",2,1),""))</f>
        <v/>
      </c>
      <c r="G76" s="36" t="str">
        <f>IF(OR($D76="",$E76=""),"",IF(AND($D76&lt;=G$7+6,$E76&gt;=G$7),IF('Plan de Tareas'!$J75="Completada",2,1),""))</f>
        <v/>
      </c>
      <c r="H76" s="36" t="str">
        <f>IF(OR($D76="",$E76=""),"",IF(AND($D76&lt;=H$7+6,$E76&gt;=H$7),IF('Plan de Tareas'!$J75="Completada",2,1),""))</f>
        <v/>
      </c>
      <c r="I76" s="36" t="str">
        <f>IF(OR($D76="",$E76=""),"",IF(AND($D76&lt;=I$7+6,$E76&gt;=I$7),IF('Plan de Tareas'!$J75="Completada",2,1),""))</f>
        <v/>
      </c>
      <c r="J76" s="36" t="str">
        <f>IF(OR($D76="",$E76=""),"",IF(AND($D76&lt;=J$7+6,$E76&gt;=J$7),IF('Plan de Tareas'!$J75="Completada",2,1),""))</f>
        <v/>
      </c>
      <c r="K76" s="36" t="str">
        <f>IF(OR($D76="",$E76=""),"",IF(AND($D76&lt;=K$7+6,$E76&gt;=K$7),IF('Plan de Tareas'!$J75="Completada",2,1),""))</f>
        <v/>
      </c>
      <c r="L76" s="36" t="str">
        <f>IF(OR($D76="",$E76=""),"",IF(AND($D76&lt;=L$7+6,$E76&gt;=L$7),IF('Plan de Tareas'!$J75="Completada",2,1),""))</f>
        <v/>
      </c>
      <c r="M76" s="36" t="str">
        <f>IF(OR($D76="",$E76=""),"",IF(AND($D76&lt;=M$7+6,$E76&gt;=M$7),IF('Plan de Tareas'!$J75="Completada",2,1),""))</f>
        <v/>
      </c>
      <c r="N76" s="36" t="str">
        <f>IF(OR($D76="",$E76=""),"",IF(AND($D76&lt;=N$7+6,$E76&gt;=N$7),IF('Plan de Tareas'!$J75="Completada",2,1),""))</f>
        <v/>
      </c>
      <c r="O76" s="36" t="str">
        <f>IF(OR($D76="",$E76=""),"",IF(AND($D76&lt;=O$7+6,$E76&gt;=O$7),IF('Plan de Tareas'!$J75="Completada",2,1),""))</f>
        <v/>
      </c>
      <c r="P76" s="36" t="str">
        <f>IF(OR($D76="",$E76=""),"",IF(AND($D76&lt;=P$7+6,$E76&gt;=P$7),IF('Plan de Tareas'!$J75="Completada",2,1),""))</f>
        <v/>
      </c>
      <c r="Q76" s="36" t="str">
        <f>IF(OR($D76="",$E76=""),"",IF(AND($D76&lt;=Q$7+6,$E76&gt;=Q$7),IF('Plan de Tareas'!$J75="Completada",2,1),""))</f>
        <v/>
      </c>
      <c r="R76" s="36" t="str">
        <f>IF(OR($D76="",$E76=""),"",IF(AND($D76&lt;=R$7+6,$E76&gt;=R$7),IF('Plan de Tareas'!$J75="Completada",2,1),""))</f>
        <v/>
      </c>
      <c r="S76" s="36" t="str">
        <f>IF(OR($D76="",$E76=""),"",IF(AND($D76&lt;=S$7+6,$E76&gt;=S$7),IF('Plan de Tareas'!$J75="Completada",2,1),""))</f>
        <v/>
      </c>
      <c r="T76" s="36" t="str">
        <f>IF(OR($D76="",$E76=""),"",IF(AND($D76&lt;=T$7+6,$E76&gt;=T$7),IF('Plan de Tareas'!$J75="Completada",2,1),""))</f>
        <v/>
      </c>
      <c r="U76" s="36" t="str">
        <f>IF(OR($D76="",$E76=""),"",IF(AND($D76&lt;=U$7+6,$E76&gt;=U$7),IF('Plan de Tareas'!$J75="Completada",2,1),""))</f>
        <v/>
      </c>
      <c r="V76" s="36" t="str">
        <f>IF(OR($D76="",$E76=""),"",IF(AND($D76&lt;=V$7+6,$E76&gt;=V$7),IF('Plan de Tareas'!$J75="Completada",2,1),""))</f>
        <v/>
      </c>
      <c r="W76" s="36" t="str">
        <f>IF(OR($D76="",$E76=""),"",IF(AND($D76&lt;=W$7+6,$E76&gt;=W$7),IF('Plan de Tareas'!$J75="Completada",2,1),""))</f>
        <v/>
      </c>
      <c r="X76" s="36" t="str">
        <f>IF(OR($D76="",$E76=""),"",IF(AND($D76&lt;=X$7+6,$E76&gt;=X$7),IF('Plan de Tareas'!$J75="Completada",2,1),""))</f>
        <v/>
      </c>
      <c r="Y76" s="36" t="str">
        <f>IF(OR($D76="",$E76=""),"",IF(AND($D76&lt;=Y$7+6,$E76&gt;=Y$7),IF('Plan de Tareas'!$J75="Completada",2,1),""))</f>
        <v/>
      </c>
      <c r="Z76" s="36" t="str">
        <f>IF(OR($D76="",$E76=""),"",IF(AND($D76&lt;=Z$7+6,$E76&gt;=Z$7),IF('Plan de Tareas'!$J75="Completada",2,1),""))</f>
        <v/>
      </c>
      <c r="AA76" s="36" t="str">
        <f>IF(OR($D76="",$E76=""),"",IF(AND($D76&lt;=AA$7+6,$E76&gt;=AA$7),IF('Plan de Tareas'!$J75="Completada",2,1),""))</f>
        <v/>
      </c>
      <c r="AB76" s="36" t="str">
        <f>IF(OR($D76="",$E76=""),"",IF(AND($D76&lt;=AB$7+6,$E76&gt;=AB$7),IF('Plan de Tareas'!$J75="Completada",2,1),""))</f>
        <v/>
      </c>
      <c r="AC76" s="36" t="str">
        <f>IF(OR($D76="",$E76=""),"",IF(AND($D76&lt;=AC$7+6,$E76&gt;=AC$7),IF('Plan de Tareas'!$J75="Completada",2,1),""))</f>
        <v/>
      </c>
      <c r="AD76" s="36" t="str">
        <f>IF(OR($D76="",$E76=""),"",IF(AND($D76&lt;=AD$7+6,$E76&gt;=AD$7),IF('Plan de Tareas'!$J75="Completada",2,1),""))</f>
        <v/>
      </c>
      <c r="AE76" s="36" t="str">
        <f>IF(OR($D76="",$E76=""),"",IF(AND($D76&lt;=AE$7+6,$E76&gt;=AE$7),IF('Plan de Tareas'!$J75="Completada",2,1),""))</f>
        <v/>
      </c>
    </row>
    <row r="77" spans="1:31" ht="15" customHeight="1" x14ac:dyDescent="0.3">
      <c r="A77" s="37" t="str">
        <f>IF('Plan de Tareas'!$C76="","",'Plan de Tareas'!$A76)</f>
        <v/>
      </c>
      <c r="B77" s="26" t="str">
        <f>IF('Plan de Tareas'!$C76="","",'Plan de Tareas'!$C76)</f>
        <v/>
      </c>
      <c r="C77" s="26" t="str">
        <f>IF('Plan de Tareas'!$C76="","",'Plan de Tareas'!$D76)</f>
        <v/>
      </c>
      <c r="D77" s="38" t="str">
        <f>IF('Plan de Tareas'!$F76="","",'Plan de Tareas'!$F76)</f>
        <v/>
      </c>
      <c r="E77" s="38" t="str">
        <f>IF('Plan de Tareas'!$G76="","",'Plan de Tareas'!$G76)</f>
        <v/>
      </c>
      <c r="F77" s="36" t="str">
        <f>IF(OR($D77="",$E77=""),"",IF(AND($D77&lt;=F$7+6,$E77&gt;=F$7),IF('Plan de Tareas'!$J76="Completada",2,1),""))</f>
        <v/>
      </c>
      <c r="G77" s="36" t="str">
        <f>IF(OR($D77="",$E77=""),"",IF(AND($D77&lt;=G$7+6,$E77&gt;=G$7),IF('Plan de Tareas'!$J76="Completada",2,1),""))</f>
        <v/>
      </c>
      <c r="H77" s="36" t="str">
        <f>IF(OR($D77="",$E77=""),"",IF(AND($D77&lt;=H$7+6,$E77&gt;=H$7),IF('Plan de Tareas'!$J76="Completada",2,1),""))</f>
        <v/>
      </c>
      <c r="I77" s="36" t="str">
        <f>IF(OR($D77="",$E77=""),"",IF(AND($D77&lt;=I$7+6,$E77&gt;=I$7),IF('Plan de Tareas'!$J76="Completada",2,1),""))</f>
        <v/>
      </c>
      <c r="J77" s="36" t="str">
        <f>IF(OR($D77="",$E77=""),"",IF(AND($D77&lt;=J$7+6,$E77&gt;=J$7),IF('Plan de Tareas'!$J76="Completada",2,1),""))</f>
        <v/>
      </c>
      <c r="K77" s="36" t="str">
        <f>IF(OR($D77="",$E77=""),"",IF(AND($D77&lt;=K$7+6,$E77&gt;=K$7),IF('Plan de Tareas'!$J76="Completada",2,1),""))</f>
        <v/>
      </c>
      <c r="L77" s="36" t="str">
        <f>IF(OR($D77="",$E77=""),"",IF(AND($D77&lt;=L$7+6,$E77&gt;=L$7),IF('Plan de Tareas'!$J76="Completada",2,1),""))</f>
        <v/>
      </c>
      <c r="M77" s="36" t="str">
        <f>IF(OR($D77="",$E77=""),"",IF(AND($D77&lt;=M$7+6,$E77&gt;=M$7),IF('Plan de Tareas'!$J76="Completada",2,1),""))</f>
        <v/>
      </c>
      <c r="N77" s="36" t="str">
        <f>IF(OR($D77="",$E77=""),"",IF(AND($D77&lt;=N$7+6,$E77&gt;=N$7),IF('Plan de Tareas'!$J76="Completada",2,1),""))</f>
        <v/>
      </c>
      <c r="O77" s="36" t="str">
        <f>IF(OR($D77="",$E77=""),"",IF(AND($D77&lt;=O$7+6,$E77&gt;=O$7),IF('Plan de Tareas'!$J76="Completada",2,1),""))</f>
        <v/>
      </c>
      <c r="P77" s="36" t="str">
        <f>IF(OR($D77="",$E77=""),"",IF(AND($D77&lt;=P$7+6,$E77&gt;=P$7),IF('Plan de Tareas'!$J76="Completada",2,1),""))</f>
        <v/>
      </c>
      <c r="Q77" s="36" t="str">
        <f>IF(OR($D77="",$E77=""),"",IF(AND($D77&lt;=Q$7+6,$E77&gt;=Q$7),IF('Plan de Tareas'!$J76="Completada",2,1),""))</f>
        <v/>
      </c>
      <c r="R77" s="36" t="str">
        <f>IF(OR($D77="",$E77=""),"",IF(AND($D77&lt;=R$7+6,$E77&gt;=R$7),IF('Plan de Tareas'!$J76="Completada",2,1),""))</f>
        <v/>
      </c>
      <c r="S77" s="36" t="str">
        <f>IF(OR($D77="",$E77=""),"",IF(AND($D77&lt;=S$7+6,$E77&gt;=S$7),IF('Plan de Tareas'!$J76="Completada",2,1),""))</f>
        <v/>
      </c>
      <c r="T77" s="36" t="str">
        <f>IF(OR($D77="",$E77=""),"",IF(AND($D77&lt;=T$7+6,$E77&gt;=T$7),IF('Plan de Tareas'!$J76="Completada",2,1),""))</f>
        <v/>
      </c>
      <c r="U77" s="36" t="str">
        <f>IF(OR($D77="",$E77=""),"",IF(AND($D77&lt;=U$7+6,$E77&gt;=U$7),IF('Plan de Tareas'!$J76="Completada",2,1),""))</f>
        <v/>
      </c>
      <c r="V77" s="36" t="str">
        <f>IF(OR($D77="",$E77=""),"",IF(AND($D77&lt;=V$7+6,$E77&gt;=V$7),IF('Plan de Tareas'!$J76="Completada",2,1),""))</f>
        <v/>
      </c>
      <c r="W77" s="36" t="str">
        <f>IF(OR($D77="",$E77=""),"",IF(AND($D77&lt;=W$7+6,$E77&gt;=W$7),IF('Plan de Tareas'!$J76="Completada",2,1),""))</f>
        <v/>
      </c>
      <c r="X77" s="36" t="str">
        <f>IF(OR($D77="",$E77=""),"",IF(AND($D77&lt;=X$7+6,$E77&gt;=X$7),IF('Plan de Tareas'!$J76="Completada",2,1),""))</f>
        <v/>
      </c>
      <c r="Y77" s="36" t="str">
        <f>IF(OR($D77="",$E77=""),"",IF(AND($D77&lt;=Y$7+6,$E77&gt;=Y$7),IF('Plan de Tareas'!$J76="Completada",2,1),""))</f>
        <v/>
      </c>
      <c r="Z77" s="36" t="str">
        <f>IF(OR($D77="",$E77=""),"",IF(AND($D77&lt;=Z$7+6,$E77&gt;=Z$7),IF('Plan de Tareas'!$J76="Completada",2,1),""))</f>
        <v/>
      </c>
      <c r="AA77" s="36" t="str">
        <f>IF(OR($D77="",$E77=""),"",IF(AND($D77&lt;=AA$7+6,$E77&gt;=AA$7),IF('Plan de Tareas'!$J76="Completada",2,1),""))</f>
        <v/>
      </c>
      <c r="AB77" s="36" t="str">
        <f>IF(OR($D77="",$E77=""),"",IF(AND($D77&lt;=AB$7+6,$E77&gt;=AB$7),IF('Plan de Tareas'!$J76="Completada",2,1),""))</f>
        <v/>
      </c>
      <c r="AC77" s="36" t="str">
        <f>IF(OR($D77="",$E77=""),"",IF(AND($D77&lt;=AC$7+6,$E77&gt;=AC$7),IF('Plan de Tareas'!$J76="Completada",2,1),""))</f>
        <v/>
      </c>
      <c r="AD77" s="36" t="str">
        <f>IF(OR($D77="",$E77=""),"",IF(AND($D77&lt;=AD$7+6,$E77&gt;=AD$7),IF('Plan de Tareas'!$J76="Completada",2,1),""))</f>
        <v/>
      </c>
      <c r="AE77" s="36" t="str">
        <f>IF(OR($D77="",$E77=""),"",IF(AND($D77&lt;=AE$7+6,$E77&gt;=AE$7),IF('Plan de Tareas'!$J76="Completada",2,1),""))</f>
        <v/>
      </c>
    </row>
    <row r="78" spans="1:31" ht="15" customHeight="1" x14ac:dyDescent="0.3">
      <c r="A78" s="34" t="str">
        <f>IF('Plan de Tareas'!$C77="","",'Plan de Tareas'!$A77)</f>
        <v/>
      </c>
      <c r="B78" s="20" t="str">
        <f>IF('Plan de Tareas'!$C77="","",'Plan de Tareas'!$C77)</f>
        <v/>
      </c>
      <c r="C78" s="20" t="str">
        <f>IF('Plan de Tareas'!$C77="","",'Plan de Tareas'!$D77)</f>
        <v/>
      </c>
      <c r="D78" s="35" t="str">
        <f>IF('Plan de Tareas'!$F77="","",'Plan de Tareas'!$F77)</f>
        <v/>
      </c>
      <c r="E78" s="35" t="str">
        <f>IF('Plan de Tareas'!$G77="","",'Plan de Tareas'!$G77)</f>
        <v/>
      </c>
      <c r="F78" s="36" t="str">
        <f>IF(OR($D78="",$E78=""),"",IF(AND($D78&lt;=F$7+6,$E78&gt;=F$7),IF('Plan de Tareas'!$J77="Completada",2,1),""))</f>
        <v/>
      </c>
      <c r="G78" s="36" t="str">
        <f>IF(OR($D78="",$E78=""),"",IF(AND($D78&lt;=G$7+6,$E78&gt;=G$7),IF('Plan de Tareas'!$J77="Completada",2,1),""))</f>
        <v/>
      </c>
      <c r="H78" s="36" t="str">
        <f>IF(OR($D78="",$E78=""),"",IF(AND($D78&lt;=H$7+6,$E78&gt;=H$7),IF('Plan de Tareas'!$J77="Completada",2,1),""))</f>
        <v/>
      </c>
      <c r="I78" s="36" t="str">
        <f>IF(OR($D78="",$E78=""),"",IF(AND($D78&lt;=I$7+6,$E78&gt;=I$7),IF('Plan de Tareas'!$J77="Completada",2,1),""))</f>
        <v/>
      </c>
      <c r="J78" s="36" t="str">
        <f>IF(OR($D78="",$E78=""),"",IF(AND($D78&lt;=J$7+6,$E78&gt;=J$7),IF('Plan de Tareas'!$J77="Completada",2,1),""))</f>
        <v/>
      </c>
      <c r="K78" s="36" t="str">
        <f>IF(OR($D78="",$E78=""),"",IF(AND($D78&lt;=K$7+6,$E78&gt;=K$7),IF('Plan de Tareas'!$J77="Completada",2,1),""))</f>
        <v/>
      </c>
      <c r="L78" s="36" t="str">
        <f>IF(OR($D78="",$E78=""),"",IF(AND($D78&lt;=L$7+6,$E78&gt;=L$7),IF('Plan de Tareas'!$J77="Completada",2,1),""))</f>
        <v/>
      </c>
      <c r="M78" s="36" t="str">
        <f>IF(OR($D78="",$E78=""),"",IF(AND($D78&lt;=M$7+6,$E78&gt;=M$7),IF('Plan de Tareas'!$J77="Completada",2,1),""))</f>
        <v/>
      </c>
      <c r="N78" s="36" t="str">
        <f>IF(OR($D78="",$E78=""),"",IF(AND($D78&lt;=N$7+6,$E78&gt;=N$7),IF('Plan de Tareas'!$J77="Completada",2,1),""))</f>
        <v/>
      </c>
      <c r="O78" s="36" t="str">
        <f>IF(OR($D78="",$E78=""),"",IF(AND($D78&lt;=O$7+6,$E78&gt;=O$7),IF('Plan de Tareas'!$J77="Completada",2,1),""))</f>
        <v/>
      </c>
      <c r="P78" s="36" t="str">
        <f>IF(OR($D78="",$E78=""),"",IF(AND($D78&lt;=P$7+6,$E78&gt;=P$7),IF('Plan de Tareas'!$J77="Completada",2,1),""))</f>
        <v/>
      </c>
      <c r="Q78" s="36" t="str">
        <f>IF(OR($D78="",$E78=""),"",IF(AND($D78&lt;=Q$7+6,$E78&gt;=Q$7),IF('Plan de Tareas'!$J77="Completada",2,1),""))</f>
        <v/>
      </c>
      <c r="R78" s="36" t="str">
        <f>IF(OR($D78="",$E78=""),"",IF(AND($D78&lt;=R$7+6,$E78&gt;=R$7),IF('Plan de Tareas'!$J77="Completada",2,1),""))</f>
        <v/>
      </c>
      <c r="S78" s="36" t="str">
        <f>IF(OR($D78="",$E78=""),"",IF(AND($D78&lt;=S$7+6,$E78&gt;=S$7),IF('Plan de Tareas'!$J77="Completada",2,1),""))</f>
        <v/>
      </c>
      <c r="T78" s="36" t="str">
        <f>IF(OR($D78="",$E78=""),"",IF(AND($D78&lt;=T$7+6,$E78&gt;=T$7),IF('Plan de Tareas'!$J77="Completada",2,1),""))</f>
        <v/>
      </c>
      <c r="U78" s="36" t="str">
        <f>IF(OR($D78="",$E78=""),"",IF(AND($D78&lt;=U$7+6,$E78&gt;=U$7),IF('Plan de Tareas'!$J77="Completada",2,1),""))</f>
        <v/>
      </c>
      <c r="V78" s="36" t="str">
        <f>IF(OR($D78="",$E78=""),"",IF(AND($D78&lt;=V$7+6,$E78&gt;=V$7),IF('Plan de Tareas'!$J77="Completada",2,1),""))</f>
        <v/>
      </c>
      <c r="W78" s="36" t="str">
        <f>IF(OR($D78="",$E78=""),"",IF(AND($D78&lt;=W$7+6,$E78&gt;=W$7),IF('Plan de Tareas'!$J77="Completada",2,1),""))</f>
        <v/>
      </c>
      <c r="X78" s="36" t="str">
        <f>IF(OR($D78="",$E78=""),"",IF(AND($D78&lt;=X$7+6,$E78&gt;=X$7),IF('Plan de Tareas'!$J77="Completada",2,1),""))</f>
        <v/>
      </c>
      <c r="Y78" s="36" t="str">
        <f>IF(OR($D78="",$E78=""),"",IF(AND($D78&lt;=Y$7+6,$E78&gt;=Y$7),IF('Plan de Tareas'!$J77="Completada",2,1),""))</f>
        <v/>
      </c>
      <c r="Z78" s="36" t="str">
        <f>IF(OR($D78="",$E78=""),"",IF(AND($D78&lt;=Z$7+6,$E78&gt;=Z$7),IF('Plan de Tareas'!$J77="Completada",2,1),""))</f>
        <v/>
      </c>
      <c r="AA78" s="36" t="str">
        <f>IF(OR($D78="",$E78=""),"",IF(AND($D78&lt;=AA$7+6,$E78&gt;=AA$7),IF('Plan de Tareas'!$J77="Completada",2,1),""))</f>
        <v/>
      </c>
      <c r="AB78" s="36" t="str">
        <f>IF(OR($D78="",$E78=""),"",IF(AND($D78&lt;=AB$7+6,$E78&gt;=AB$7),IF('Plan de Tareas'!$J77="Completada",2,1),""))</f>
        <v/>
      </c>
      <c r="AC78" s="36" t="str">
        <f>IF(OR($D78="",$E78=""),"",IF(AND($D78&lt;=AC$7+6,$E78&gt;=AC$7),IF('Plan de Tareas'!$J77="Completada",2,1),""))</f>
        <v/>
      </c>
      <c r="AD78" s="36" t="str">
        <f>IF(OR($D78="",$E78=""),"",IF(AND($D78&lt;=AD$7+6,$E78&gt;=AD$7),IF('Plan de Tareas'!$J77="Completada",2,1),""))</f>
        <v/>
      </c>
      <c r="AE78" s="36" t="str">
        <f>IF(OR($D78="",$E78=""),"",IF(AND($D78&lt;=AE$7+6,$E78&gt;=AE$7),IF('Plan de Tareas'!$J77="Completada",2,1),""))</f>
        <v/>
      </c>
    </row>
    <row r="79" spans="1:31" ht="15" customHeight="1" x14ac:dyDescent="0.3">
      <c r="A79" s="37" t="str">
        <f>IF('Plan de Tareas'!$C78="","",'Plan de Tareas'!$A78)</f>
        <v/>
      </c>
      <c r="B79" s="26" t="str">
        <f>IF('Plan de Tareas'!$C78="","",'Plan de Tareas'!$C78)</f>
        <v/>
      </c>
      <c r="C79" s="26" t="str">
        <f>IF('Plan de Tareas'!$C78="","",'Plan de Tareas'!$D78)</f>
        <v/>
      </c>
      <c r="D79" s="38" t="str">
        <f>IF('Plan de Tareas'!$F78="","",'Plan de Tareas'!$F78)</f>
        <v/>
      </c>
      <c r="E79" s="38" t="str">
        <f>IF('Plan de Tareas'!$G78="","",'Plan de Tareas'!$G78)</f>
        <v/>
      </c>
      <c r="F79" s="36" t="str">
        <f>IF(OR($D79="",$E79=""),"",IF(AND($D79&lt;=F$7+6,$E79&gt;=F$7),IF('Plan de Tareas'!$J78="Completada",2,1),""))</f>
        <v/>
      </c>
      <c r="G79" s="36" t="str">
        <f>IF(OR($D79="",$E79=""),"",IF(AND($D79&lt;=G$7+6,$E79&gt;=G$7),IF('Plan de Tareas'!$J78="Completada",2,1),""))</f>
        <v/>
      </c>
      <c r="H79" s="36" t="str">
        <f>IF(OR($D79="",$E79=""),"",IF(AND($D79&lt;=H$7+6,$E79&gt;=H$7),IF('Plan de Tareas'!$J78="Completada",2,1),""))</f>
        <v/>
      </c>
      <c r="I79" s="36" t="str">
        <f>IF(OR($D79="",$E79=""),"",IF(AND($D79&lt;=I$7+6,$E79&gt;=I$7),IF('Plan de Tareas'!$J78="Completada",2,1),""))</f>
        <v/>
      </c>
      <c r="J79" s="36" t="str">
        <f>IF(OR($D79="",$E79=""),"",IF(AND($D79&lt;=J$7+6,$E79&gt;=J$7),IF('Plan de Tareas'!$J78="Completada",2,1),""))</f>
        <v/>
      </c>
      <c r="K79" s="36" t="str">
        <f>IF(OR($D79="",$E79=""),"",IF(AND($D79&lt;=K$7+6,$E79&gt;=K$7),IF('Plan de Tareas'!$J78="Completada",2,1),""))</f>
        <v/>
      </c>
      <c r="L79" s="36" t="str">
        <f>IF(OR($D79="",$E79=""),"",IF(AND($D79&lt;=L$7+6,$E79&gt;=L$7),IF('Plan de Tareas'!$J78="Completada",2,1),""))</f>
        <v/>
      </c>
      <c r="M79" s="36" t="str">
        <f>IF(OR($D79="",$E79=""),"",IF(AND($D79&lt;=M$7+6,$E79&gt;=M$7),IF('Plan de Tareas'!$J78="Completada",2,1),""))</f>
        <v/>
      </c>
      <c r="N79" s="36" t="str">
        <f>IF(OR($D79="",$E79=""),"",IF(AND($D79&lt;=N$7+6,$E79&gt;=N$7),IF('Plan de Tareas'!$J78="Completada",2,1),""))</f>
        <v/>
      </c>
      <c r="O79" s="36" t="str">
        <f>IF(OR($D79="",$E79=""),"",IF(AND($D79&lt;=O$7+6,$E79&gt;=O$7),IF('Plan de Tareas'!$J78="Completada",2,1),""))</f>
        <v/>
      </c>
      <c r="P79" s="36" t="str">
        <f>IF(OR($D79="",$E79=""),"",IF(AND($D79&lt;=P$7+6,$E79&gt;=P$7),IF('Plan de Tareas'!$J78="Completada",2,1),""))</f>
        <v/>
      </c>
      <c r="Q79" s="36" t="str">
        <f>IF(OR($D79="",$E79=""),"",IF(AND($D79&lt;=Q$7+6,$E79&gt;=Q$7),IF('Plan de Tareas'!$J78="Completada",2,1),""))</f>
        <v/>
      </c>
      <c r="R79" s="36" t="str">
        <f>IF(OR($D79="",$E79=""),"",IF(AND($D79&lt;=R$7+6,$E79&gt;=R$7),IF('Plan de Tareas'!$J78="Completada",2,1),""))</f>
        <v/>
      </c>
      <c r="S79" s="36" t="str">
        <f>IF(OR($D79="",$E79=""),"",IF(AND($D79&lt;=S$7+6,$E79&gt;=S$7),IF('Plan de Tareas'!$J78="Completada",2,1),""))</f>
        <v/>
      </c>
      <c r="T79" s="36" t="str">
        <f>IF(OR($D79="",$E79=""),"",IF(AND($D79&lt;=T$7+6,$E79&gt;=T$7),IF('Plan de Tareas'!$J78="Completada",2,1),""))</f>
        <v/>
      </c>
      <c r="U79" s="36" t="str">
        <f>IF(OR($D79="",$E79=""),"",IF(AND($D79&lt;=U$7+6,$E79&gt;=U$7),IF('Plan de Tareas'!$J78="Completada",2,1),""))</f>
        <v/>
      </c>
      <c r="V79" s="36" t="str">
        <f>IF(OR($D79="",$E79=""),"",IF(AND($D79&lt;=V$7+6,$E79&gt;=V$7),IF('Plan de Tareas'!$J78="Completada",2,1),""))</f>
        <v/>
      </c>
      <c r="W79" s="36" t="str">
        <f>IF(OR($D79="",$E79=""),"",IF(AND($D79&lt;=W$7+6,$E79&gt;=W$7),IF('Plan de Tareas'!$J78="Completada",2,1),""))</f>
        <v/>
      </c>
      <c r="X79" s="36" t="str">
        <f>IF(OR($D79="",$E79=""),"",IF(AND($D79&lt;=X$7+6,$E79&gt;=X$7),IF('Plan de Tareas'!$J78="Completada",2,1),""))</f>
        <v/>
      </c>
      <c r="Y79" s="36" t="str">
        <f>IF(OR($D79="",$E79=""),"",IF(AND($D79&lt;=Y$7+6,$E79&gt;=Y$7),IF('Plan de Tareas'!$J78="Completada",2,1),""))</f>
        <v/>
      </c>
      <c r="Z79" s="36" t="str">
        <f>IF(OR($D79="",$E79=""),"",IF(AND($D79&lt;=Z$7+6,$E79&gt;=Z$7),IF('Plan de Tareas'!$J78="Completada",2,1),""))</f>
        <v/>
      </c>
      <c r="AA79" s="36" t="str">
        <f>IF(OR($D79="",$E79=""),"",IF(AND($D79&lt;=AA$7+6,$E79&gt;=AA$7),IF('Plan de Tareas'!$J78="Completada",2,1),""))</f>
        <v/>
      </c>
      <c r="AB79" s="36" t="str">
        <f>IF(OR($D79="",$E79=""),"",IF(AND($D79&lt;=AB$7+6,$E79&gt;=AB$7),IF('Plan de Tareas'!$J78="Completada",2,1),""))</f>
        <v/>
      </c>
      <c r="AC79" s="36" t="str">
        <f>IF(OR($D79="",$E79=""),"",IF(AND($D79&lt;=AC$7+6,$E79&gt;=AC$7),IF('Plan de Tareas'!$J78="Completada",2,1),""))</f>
        <v/>
      </c>
      <c r="AD79" s="36" t="str">
        <f>IF(OR($D79="",$E79=""),"",IF(AND($D79&lt;=AD$7+6,$E79&gt;=AD$7),IF('Plan de Tareas'!$J78="Completada",2,1),""))</f>
        <v/>
      </c>
      <c r="AE79" s="36" t="str">
        <f>IF(OR($D79="",$E79=""),"",IF(AND($D79&lt;=AE$7+6,$E79&gt;=AE$7),IF('Plan de Tareas'!$J78="Completada",2,1),""))</f>
        <v/>
      </c>
    </row>
    <row r="80" spans="1:31" ht="15" customHeight="1" x14ac:dyDescent="0.3">
      <c r="A80" s="34" t="str">
        <f>IF('Plan de Tareas'!$C79="","",'Plan de Tareas'!$A79)</f>
        <v/>
      </c>
      <c r="B80" s="20" t="str">
        <f>IF('Plan de Tareas'!$C79="","",'Plan de Tareas'!$C79)</f>
        <v/>
      </c>
      <c r="C80" s="20" t="str">
        <f>IF('Plan de Tareas'!$C79="","",'Plan de Tareas'!$D79)</f>
        <v/>
      </c>
      <c r="D80" s="35" t="str">
        <f>IF('Plan de Tareas'!$F79="","",'Plan de Tareas'!$F79)</f>
        <v/>
      </c>
      <c r="E80" s="35" t="str">
        <f>IF('Plan de Tareas'!$G79="","",'Plan de Tareas'!$G79)</f>
        <v/>
      </c>
      <c r="F80" s="36" t="str">
        <f>IF(OR($D80="",$E80=""),"",IF(AND($D80&lt;=F$7+6,$E80&gt;=F$7),IF('Plan de Tareas'!$J79="Completada",2,1),""))</f>
        <v/>
      </c>
      <c r="G80" s="36" t="str">
        <f>IF(OR($D80="",$E80=""),"",IF(AND($D80&lt;=G$7+6,$E80&gt;=G$7),IF('Plan de Tareas'!$J79="Completada",2,1),""))</f>
        <v/>
      </c>
      <c r="H80" s="36" t="str">
        <f>IF(OR($D80="",$E80=""),"",IF(AND($D80&lt;=H$7+6,$E80&gt;=H$7),IF('Plan de Tareas'!$J79="Completada",2,1),""))</f>
        <v/>
      </c>
      <c r="I80" s="36" t="str">
        <f>IF(OR($D80="",$E80=""),"",IF(AND($D80&lt;=I$7+6,$E80&gt;=I$7),IF('Plan de Tareas'!$J79="Completada",2,1),""))</f>
        <v/>
      </c>
      <c r="J80" s="36" t="str">
        <f>IF(OR($D80="",$E80=""),"",IF(AND($D80&lt;=J$7+6,$E80&gt;=J$7),IF('Plan de Tareas'!$J79="Completada",2,1),""))</f>
        <v/>
      </c>
      <c r="K80" s="36" t="str">
        <f>IF(OR($D80="",$E80=""),"",IF(AND($D80&lt;=K$7+6,$E80&gt;=K$7),IF('Plan de Tareas'!$J79="Completada",2,1),""))</f>
        <v/>
      </c>
      <c r="L80" s="36" t="str">
        <f>IF(OR($D80="",$E80=""),"",IF(AND($D80&lt;=L$7+6,$E80&gt;=L$7),IF('Plan de Tareas'!$J79="Completada",2,1),""))</f>
        <v/>
      </c>
      <c r="M80" s="36" t="str">
        <f>IF(OR($D80="",$E80=""),"",IF(AND($D80&lt;=M$7+6,$E80&gt;=M$7),IF('Plan de Tareas'!$J79="Completada",2,1),""))</f>
        <v/>
      </c>
      <c r="N80" s="36" t="str">
        <f>IF(OR($D80="",$E80=""),"",IF(AND($D80&lt;=N$7+6,$E80&gt;=N$7),IF('Plan de Tareas'!$J79="Completada",2,1),""))</f>
        <v/>
      </c>
      <c r="O80" s="36" t="str">
        <f>IF(OR($D80="",$E80=""),"",IF(AND($D80&lt;=O$7+6,$E80&gt;=O$7),IF('Plan de Tareas'!$J79="Completada",2,1),""))</f>
        <v/>
      </c>
      <c r="P80" s="36" t="str">
        <f>IF(OR($D80="",$E80=""),"",IF(AND($D80&lt;=P$7+6,$E80&gt;=P$7),IF('Plan de Tareas'!$J79="Completada",2,1),""))</f>
        <v/>
      </c>
      <c r="Q80" s="36" t="str">
        <f>IF(OR($D80="",$E80=""),"",IF(AND($D80&lt;=Q$7+6,$E80&gt;=Q$7),IF('Plan de Tareas'!$J79="Completada",2,1),""))</f>
        <v/>
      </c>
      <c r="R80" s="36" t="str">
        <f>IF(OR($D80="",$E80=""),"",IF(AND($D80&lt;=R$7+6,$E80&gt;=R$7),IF('Plan de Tareas'!$J79="Completada",2,1),""))</f>
        <v/>
      </c>
      <c r="S80" s="36" t="str">
        <f>IF(OR($D80="",$E80=""),"",IF(AND($D80&lt;=S$7+6,$E80&gt;=S$7),IF('Plan de Tareas'!$J79="Completada",2,1),""))</f>
        <v/>
      </c>
      <c r="T80" s="36" t="str">
        <f>IF(OR($D80="",$E80=""),"",IF(AND($D80&lt;=T$7+6,$E80&gt;=T$7),IF('Plan de Tareas'!$J79="Completada",2,1),""))</f>
        <v/>
      </c>
      <c r="U80" s="36" t="str">
        <f>IF(OR($D80="",$E80=""),"",IF(AND($D80&lt;=U$7+6,$E80&gt;=U$7),IF('Plan de Tareas'!$J79="Completada",2,1),""))</f>
        <v/>
      </c>
      <c r="V80" s="36" t="str">
        <f>IF(OR($D80="",$E80=""),"",IF(AND($D80&lt;=V$7+6,$E80&gt;=V$7),IF('Plan de Tareas'!$J79="Completada",2,1),""))</f>
        <v/>
      </c>
      <c r="W80" s="36" t="str">
        <f>IF(OR($D80="",$E80=""),"",IF(AND($D80&lt;=W$7+6,$E80&gt;=W$7),IF('Plan de Tareas'!$J79="Completada",2,1),""))</f>
        <v/>
      </c>
      <c r="X80" s="36" t="str">
        <f>IF(OR($D80="",$E80=""),"",IF(AND($D80&lt;=X$7+6,$E80&gt;=X$7),IF('Plan de Tareas'!$J79="Completada",2,1),""))</f>
        <v/>
      </c>
      <c r="Y80" s="36" t="str">
        <f>IF(OR($D80="",$E80=""),"",IF(AND($D80&lt;=Y$7+6,$E80&gt;=Y$7),IF('Plan de Tareas'!$J79="Completada",2,1),""))</f>
        <v/>
      </c>
      <c r="Z80" s="36" t="str">
        <f>IF(OR($D80="",$E80=""),"",IF(AND($D80&lt;=Z$7+6,$E80&gt;=Z$7),IF('Plan de Tareas'!$J79="Completada",2,1),""))</f>
        <v/>
      </c>
      <c r="AA80" s="36" t="str">
        <f>IF(OR($D80="",$E80=""),"",IF(AND($D80&lt;=AA$7+6,$E80&gt;=AA$7),IF('Plan de Tareas'!$J79="Completada",2,1),""))</f>
        <v/>
      </c>
      <c r="AB80" s="36" t="str">
        <f>IF(OR($D80="",$E80=""),"",IF(AND($D80&lt;=AB$7+6,$E80&gt;=AB$7),IF('Plan de Tareas'!$J79="Completada",2,1),""))</f>
        <v/>
      </c>
      <c r="AC80" s="36" t="str">
        <f>IF(OR($D80="",$E80=""),"",IF(AND($D80&lt;=AC$7+6,$E80&gt;=AC$7),IF('Plan de Tareas'!$J79="Completada",2,1),""))</f>
        <v/>
      </c>
      <c r="AD80" s="36" t="str">
        <f>IF(OR($D80="",$E80=""),"",IF(AND($D80&lt;=AD$7+6,$E80&gt;=AD$7),IF('Plan de Tareas'!$J79="Completada",2,1),""))</f>
        <v/>
      </c>
      <c r="AE80" s="36" t="str">
        <f>IF(OR($D80="",$E80=""),"",IF(AND($D80&lt;=AE$7+6,$E80&gt;=AE$7),IF('Plan de Tareas'!$J79="Completada",2,1),""))</f>
        <v/>
      </c>
    </row>
    <row r="81" spans="1:31" ht="15" customHeight="1" x14ac:dyDescent="0.3">
      <c r="A81" s="37" t="str">
        <f>IF('Plan de Tareas'!$C80="","",'Plan de Tareas'!$A80)</f>
        <v/>
      </c>
      <c r="B81" s="26" t="str">
        <f>IF('Plan de Tareas'!$C80="","",'Plan de Tareas'!$C80)</f>
        <v/>
      </c>
      <c r="C81" s="26" t="str">
        <f>IF('Plan de Tareas'!$C80="","",'Plan de Tareas'!$D80)</f>
        <v/>
      </c>
      <c r="D81" s="38" t="str">
        <f>IF('Plan de Tareas'!$F80="","",'Plan de Tareas'!$F80)</f>
        <v/>
      </c>
      <c r="E81" s="38" t="str">
        <f>IF('Plan de Tareas'!$G80="","",'Plan de Tareas'!$G80)</f>
        <v/>
      </c>
      <c r="F81" s="36" t="str">
        <f>IF(OR($D81="",$E81=""),"",IF(AND($D81&lt;=F$7+6,$E81&gt;=F$7),IF('Plan de Tareas'!$J80="Completada",2,1),""))</f>
        <v/>
      </c>
      <c r="G81" s="36" t="str">
        <f>IF(OR($D81="",$E81=""),"",IF(AND($D81&lt;=G$7+6,$E81&gt;=G$7),IF('Plan de Tareas'!$J80="Completada",2,1),""))</f>
        <v/>
      </c>
      <c r="H81" s="36" t="str">
        <f>IF(OR($D81="",$E81=""),"",IF(AND($D81&lt;=H$7+6,$E81&gt;=H$7),IF('Plan de Tareas'!$J80="Completada",2,1),""))</f>
        <v/>
      </c>
      <c r="I81" s="36" t="str">
        <f>IF(OR($D81="",$E81=""),"",IF(AND($D81&lt;=I$7+6,$E81&gt;=I$7),IF('Plan de Tareas'!$J80="Completada",2,1),""))</f>
        <v/>
      </c>
      <c r="J81" s="36" t="str">
        <f>IF(OR($D81="",$E81=""),"",IF(AND($D81&lt;=J$7+6,$E81&gt;=J$7),IF('Plan de Tareas'!$J80="Completada",2,1),""))</f>
        <v/>
      </c>
      <c r="K81" s="36" t="str">
        <f>IF(OR($D81="",$E81=""),"",IF(AND($D81&lt;=K$7+6,$E81&gt;=K$7),IF('Plan de Tareas'!$J80="Completada",2,1),""))</f>
        <v/>
      </c>
      <c r="L81" s="36" t="str">
        <f>IF(OR($D81="",$E81=""),"",IF(AND($D81&lt;=L$7+6,$E81&gt;=L$7),IF('Plan de Tareas'!$J80="Completada",2,1),""))</f>
        <v/>
      </c>
      <c r="M81" s="36" t="str">
        <f>IF(OR($D81="",$E81=""),"",IF(AND($D81&lt;=M$7+6,$E81&gt;=M$7),IF('Plan de Tareas'!$J80="Completada",2,1),""))</f>
        <v/>
      </c>
      <c r="N81" s="36" t="str">
        <f>IF(OR($D81="",$E81=""),"",IF(AND($D81&lt;=N$7+6,$E81&gt;=N$7),IF('Plan de Tareas'!$J80="Completada",2,1),""))</f>
        <v/>
      </c>
      <c r="O81" s="36" t="str">
        <f>IF(OR($D81="",$E81=""),"",IF(AND($D81&lt;=O$7+6,$E81&gt;=O$7),IF('Plan de Tareas'!$J80="Completada",2,1),""))</f>
        <v/>
      </c>
      <c r="P81" s="36" t="str">
        <f>IF(OR($D81="",$E81=""),"",IF(AND($D81&lt;=P$7+6,$E81&gt;=P$7),IF('Plan de Tareas'!$J80="Completada",2,1),""))</f>
        <v/>
      </c>
      <c r="Q81" s="36" t="str">
        <f>IF(OR($D81="",$E81=""),"",IF(AND($D81&lt;=Q$7+6,$E81&gt;=Q$7),IF('Plan de Tareas'!$J80="Completada",2,1),""))</f>
        <v/>
      </c>
      <c r="R81" s="36" t="str">
        <f>IF(OR($D81="",$E81=""),"",IF(AND($D81&lt;=R$7+6,$E81&gt;=R$7),IF('Plan de Tareas'!$J80="Completada",2,1),""))</f>
        <v/>
      </c>
      <c r="S81" s="36" t="str">
        <f>IF(OR($D81="",$E81=""),"",IF(AND($D81&lt;=S$7+6,$E81&gt;=S$7),IF('Plan de Tareas'!$J80="Completada",2,1),""))</f>
        <v/>
      </c>
      <c r="T81" s="36" t="str">
        <f>IF(OR($D81="",$E81=""),"",IF(AND($D81&lt;=T$7+6,$E81&gt;=T$7),IF('Plan de Tareas'!$J80="Completada",2,1),""))</f>
        <v/>
      </c>
      <c r="U81" s="36" t="str">
        <f>IF(OR($D81="",$E81=""),"",IF(AND($D81&lt;=U$7+6,$E81&gt;=U$7),IF('Plan de Tareas'!$J80="Completada",2,1),""))</f>
        <v/>
      </c>
      <c r="V81" s="36" t="str">
        <f>IF(OR($D81="",$E81=""),"",IF(AND($D81&lt;=V$7+6,$E81&gt;=V$7),IF('Plan de Tareas'!$J80="Completada",2,1),""))</f>
        <v/>
      </c>
      <c r="W81" s="36" t="str">
        <f>IF(OR($D81="",$E81=""),"",IF(AND($D81&lt;=W$7+6,$E81&gt;=W$7),IF('Plan de Tareas'!$J80="Completada",2,1),""))</f>
        <v/>
      </c>
      <c r="X81" s="36" t="str">
        <f>IF(OR($D81="",$E81=""),"",IF(AND($D81&lt;=X$7+6,$E81&gt;=X$7),IF('Plan de Tareas'!$J80="Completada",2,1),""))</f>
        <v/>
      </c>
      <c r="Y81" s="36" t="str">
        <f>IF(OR($D81="",$E81=""),"",IF(AND($D81&lt;=Y$7+6,$E81&gt;=Y$7),IF('Plan de Tareas'!$J80="Completada",2,1),""))</f>
        <v/>
      </c>
      <c r="Z81" s="36" t="str">
        <f>IF(OR($D81="",$E81=""),"",IF(AND($D81&lt;=Z$7+6,$E81&gt;=Z$7),IF('Plan de Tareas'!$J80="Completada",2,1),""))</f>
        <v/>
      </c>
      <c r="AA81" s="36" t="str">
        <f>IF(OR($D81="",$E81=""),"",IF(AND($D81&lt;=AA$7+6,$E81&gt;=AA$7),IF('Plan de Tareas'!$J80="Completada",2,1),""))</f>
        <v/>
      </c>
      <c r="AB81" s="36" t="str">
        <f>IF(OR($D81="",$E81=""),"",IF(AND($D81&lt;=AB$7+6,$E81&gt;=AB$7),IF('Plan de Tareas'!$J80="Completada",2,1),""))</f>
        <v/>
      </c>
      <c r="AC81" s="36" t="str">
        <f>IF(OR($D81="",$E81=""),"",IF(AND($D81&lt;=AC$7+6,$E81&gt;=AC$7),IF('Plan de Tareas'!$J80="Completada",2,1),""))</f>
        <v/>
      </c>
      <c r="AD81" s="36" t="str">
        <f>IF(OR($D81="",$E81=""),"",IF(AND($D81&lt;=AD$7+6,$E81&gt;=AD$7),IF('Plan de Tareas'!$J80="Completada",2,1),""))</f>
        <v/>
      </c>
      <c r="AE81" s="36" t="str">
        <f>IF(OR($D81="",$E81=""),"",IF(AND($D81&lt;=AE$7+6,$E81&gt;=AE$7),IF('Plan de Tareas'!$J80="Completada",2,1),""))</f>
        <v/>
      </c>
    </row>
    <row r="82" spans="1:31" ht="15" customHeight="1" x14ac:dyDescent="0.3">
      <c r="A82" s="34" t="str">
        <f>IF('Plan de Tareas'!$C81="","",'Plan de Tareas'!$A81)</f>
        <v/>
      </c>
      <c r="B82" s="20" t="str">
        <f>IF('Plan de Tareas'!$C81="","",'Plan de Tareas'!$C81)</f>
        <v/>
      </c>
      <c r="C82" s="20" t="str">
        <f>IF('Plan de Tareas'!$C81="","",'Plan de Tareas'!$D81)</f>
        <v/>
      </c>
      <c r="D82" s="35" t="str">
        <f>IF('Plan de Tareas'!$F81="","",'Plan de Tareas'!$F81)</f>
        <v/>
      </c>
      <c r="E82" s="35" t="str">
        <f>IF('Plan de Tareas'!$G81="","",'Plan de Tareas'!$G81)</f>
        <v/>
      </c>
      <c r="F82" s="36" t="str">
        <f>IF(OR($D82="",$E82=""),"",IF(AND($D82&lt;=F$7+6,$E82&gt;=F$7),IF('Plan de Tareas'!$J81="Completada",2,1),""))</f>
        <v/>
      </c>
      <c r="G82" s="36" t="str">
        <f>IF(OR($D82="",$E82=""),"",IF(AND($D82&lt;=G$7+6,$E82&gt;=G$7),IF('Plan de Tareas'!$J81="Completada",2,1),""))</f>
        <v/>
      </c>
      <c r="H82" s="36" t="str">
        <f>IF(OR($D82="",$E82=""),"",IF(AND($D82&lt;=H$7+6,$E82&gt;=H$7),IF('Plan de Tareas'!$J81="Completada",2,1),""))</f>
        <v/>
      </c>
      <c r="I82" s="36" t="str">
        <f>IF(OR($D82="",$E82=""),"",IF(AND($D82&lt;=I$7+6,$E82&gt;=I$7),IF('Plan de Tareas'!$J81="Completada",2,1),""))</f>
        <v/>
      </c>
      <c r="J82" s="36" t="str">
        <f>IF(OR($D82="",$E82=""),"",IF(AND($D82&lt;=J$7+6,$E82&gt;=J$7),IF('Plan de Tareas'!$J81="Completada",2,1),""))</f>
        <v/>
      </c>
      <c r="K82" s="36" t="str">
        <f>IF(OR($D82="",$E82=""),"",IF(AND($D82&lt;=K$7+6,$E82&gt;=K$7),IF('Plan de Tareas'!$J81="Completada",2,1),""))</f>
        <v/>
      </c>
      <c r="L82" s="36" t="str">
        <f>IF(OR($D82="",$E82=""),"",IF(AND($D82&lt;=L$7+6,$E82&gt;=L$7),IF('Plan de Tareas'!$J81="Completada",2,1),""))</f>
        <v/>
      </c>
      <c r="M82" s="36" t="str">
        <f>IF(OR($D82="",$E82=""),"",IF(AND($D82&lt;=M$7+6,$E82&gt;=M$7),IF('Plan de Tareas'!$J81="Completada",2,1),""))</f>
        <v/>
      </c>
      <c r="N82" s="36" t="str">
        <f>IF(OR($D82="",$E82=""),"",IF(AND($D82&lt;=N$7+6,$E82&gt;=N$7),IF('Plan de Tareas'!$J81="Completada",2,1),""))</f>
        <v/>
      </c>
      <c r="O82" s="36" t="str">
        <f>IF(OR($D82="",$E82=""),"",IF(AND($D82&lt;=O$7+6,$E82&gt;=O$7),IF('Plan de Tareas'!$J81="Completada",2,1),""))</f>
        <v/>
      </c>
      <c r="P82" s="36" t="str">
        <f>IF(OR($D82="",$E82=""),"",IF(AND($D82&lt;=P$7+6,$E82&gt;=P$7),IF('Plan de Tareas'!$J81="Completada",2,1),""))</f>
        <v/>
      </c>
      <c r="Q82" s="36" t="str">
        <f>IF(OR($D82="",$E82=""),"",IF(AND($D82&lt;=Q$7+6,$E82&gt;=Q$7),IF('Plan de Tareas'!$J81="Completada",2,1),""))</f>
        <v/>
      </c>
      <c r="R82" s="36" t="str">
        <f>IF(OR($D82="",$E82=""),"",IF(AND($D82&lt;=R$7+6,$E82&gt;=R$7),IF('Plan de Tareas'!$J81="Completada",2,1),""))</f>
        <v/>
      </c>
      <c r="S82" s="36" t="str">
        <f>IF(OR($D82="",$E82=""),"",IF(AND($D82&lt;=S$7+6,$E82&gt;=S$7),IF('Plan de Tareas'!$J81="Completada",2,1),""))</f>
        <v/>
      </c>
      <c r="T82" s="36" t="str">
        <f>IF(OR($D82="",$E82=""),"",IF(AND($D82&lt;=T$7+6,$E82&gt;=T$7),IF('Plan de Tareas'!$J81="Completada",2,1),""))</f>
        <v/>
      </c>
      <c r="U82" s="36" t="str">
        <f>IF(OR($D82="",$E82=""),"",IF(AND($D82&lt;=U$7+6,$E82&gt;=U$7),IF('Plan de Tareas'!$J81="Completada",2,1),""))</f>
        <v/>
      </c>
      <c r="V82" s="36" t="str">
        <f>IF(OR($D82="",$E82=""),"",IF(AND($D82&lt;=V$7+6,$E82&gt;=V$7),IF('Plan de Tareas'!$J81="Completada",2,1),""))</f>
        <v/>
      </c>
      <c r="W82" s="36" t="str">
        <f>IF(OR($D82="",$E82=""),"",IF(AND($D82&lt;=W$7+6,$E82&gt;=W$7),IF('Plan de Tareas'!$J81="Completada",2,1),""))</f>
        <v/>
      </c>
      <c r="X82" s="36" t="str">
        <f>IF(OR($D82="",$E82=""),"",IF(AND($D82&lt;=X$7+6,$E82&gt;=X$7),IF('Plan de Tareas'!$J81="Completada",2,1),""))</f>
        <v/>
      </c>
      <c r="Y82" s="36" t="str">
        <f>IF(OR($D82="",$E82=""),"",IF(AND($D82&lt;=Y$7+6,$E82&gt;=Y$7),IF('Plan de Tareas'!$J81="Completada",2,1),""))</f>
        <v/>
      </c>
      <c r="Z82" s="36" t="str">
        <f>IF(OR($D82="",$E82=""),"",IF(AND($D82&lt;=Z$7+6,$E82&gt;=Z$7),IF('Plan de Tareas'!$J81="Completada",2,1),""))</f>
        <v/>
      </c>
      <c r="AA82" s="36" t="str">
        <f>IF(OR($D82="",$E82=""),"",IF(AND($D82&lt;=AA$7+6,$E82&gt;=AA$7),IF('Plan de Tareas'!$J81="Completada",2,1),""))</f>
        <v/>
      </c>
      <c r="AB82" s="36" t="str">
        <f>IF(OR($D82="",$E82=""),"",IF(AND($D82&lt;=AB$7+6,$E82&gt;=AB$7),IF('Plan de Tareas'!$J81="Completada",2,1),""))</f>
        <v/>
      </c>
      <c r="AC82" s="36" t="str">
        <f>IF(OR($D82="",$E82=""),"",IF(AND($D82&lt;=AC$7+6,$E82&gt;=AC$7),IF('Plan de Tareas'!$J81="Completada",2,1),""))</f>
        <v/>
      </c>
      <c r="AD82" s="36" t="str">
        <f>IF(OR($D82="",$E82=""),"",IF(AND($D82&lt;=AD$7+6,$E82&gt;=AD$7),IF('Plan de Tareas'!$J81="Completada",2,1),""))</f>
        <v/>
      </c>
      <c r="AE82" s="36" t="str">
        <f>IF(OR($D82="",$E82=""),"",IF(AND($D82&lt;=AE$7+6,$E82&gt;=AE$7),IF('Plan de Tareas'!$J81="Completada",2,1),""))</f>
        <v/>
      </c>
    </row>
    <row r="83" spans="1:31" ht="15" customHeight="1" x14ac:dyDescent="0.3">
      <c r="A83" s="37" t="str">
        <f>IF('Plan de Tareas'!$C82="","",'Plan de Tareas'!$A82)</f>
        <v/>
      </c>
      <c r="B83" s="26" t="str">
        <f>IF('Plan de Tareas'!$C82="","",'Plan de Tareas'!$C82)</f>
        <v/>
      </c>
      <c r="C83" s="26" t="str">
        <f>IF('Plan de Tareas'!$C82="","",'Plan de Tareas'!$D82)</f>
        <v/>
      </c>
      <c r="D83" s="38" t="str">
        <f>IF('Plan de Tareas'!$F82="","",'Plan de Tareas'!$F82)</f>
        <v/>
      </c>
      <c r="E83" s="38" t="str">
        <f>IF('Plan de Tareas'!$G82="","",'Plan de Tareas'!$G82)</f>
        <v/>
      </c>
      <c r="F83" s="36" t="str">
        <f>IF(OR($D83="",$E83=""),"",IF(AND($D83&lt;=F$7+6,$E83&gt;=F$7),IF('Plan de Tareas'!$J82="Completada",2,1),""))</f>
        <v/>
      </c>
      <c r="G83" s="36" t="str">
        <f>IF(OR($D83="",$E83=""),"",IF(AND($D83&lt;=G$7+6,$E83&gt;=G$7),IF('Plan de Tareas'!$J82="Completada",2,1),""))</f>
        <v/>
      </c>
      <c r="H83" s="36" t="str">
        <f>IF(OR($D83="",$E83=""),"",IF(AND($D83&lt;=H$7+6,$E83&gt;=H$7),IF('Plan de Tareas'!$J82="Completada",2,1),""))</f>
        <v/>
      </c>
      <c r="I83" s="36" t="str">
        <f>IF(OR($D83="",$E83=""),"",IF(AND($D83&lt;=I$7+6,$E83&gt;=I$7),IF('Plan de Tareas'!$J82="Completada",2,1),""))</f>
        <v/>
      </c>
      <c r="J83" s="36" t="str">
        <f>IF(OR($D83="",$E83=""),"",IF(AND($D83&lt;=J$7+6,$E83&gt;=J$7),IF('Plan de Tareas'!$J82="Completada",2,1),""))</f>
        <v/>
      </c>
      <c r="K83" s="36" t="str">
        <f>IF(OR($D83="",$E83=""),"",IF(AND($D83&lt;=K$7+6,$E83&gt;=K$7),IF('Plan de Tareas'!$J82="Completada",2,1),""))</f>
        <v/>
      </c>
      <c r="L83" s="36" t="str">
        <f>IF(OR($D83="",$E83=""),"",IF(AND($D83&lt;=L$7+6,$E83&gt;=L$7),IF('Plan de Tareas'!$J82="Completada",2,1),""))</f>
        <v/>
      </c>
      <c r="M83" s="36" t="str">
        <f>IF(OR($D83="",$E83=""),"",IF(AND($D83&lt;=M$7+6,$E83&gt;=M$7),IF('Plan de Tareas'!$J82="Completada",2,1),""))</f>
        <v/>
      </c>
      <c r="N83" s="36" t="str">
        <f>IF(OR($D83="",$E83=""),"",IF(AND($D83&lt;=N$7+6,$E83&gt;=N$7),IF('Plan de Tareas'!$J82="Completada",2,1),""))</f>
        <v/>
      </c>
      <c r="O83" s="36" t="str">
        <f>IF(OR($D83="",$E83=""),"",IF(AND($D83&lt;=O$7+6,$E83&gt;=O$7),IF('Plan de Tareas'!$J82="Completada",2,1),""))</f>
        <v/>
      </c>
      <c r="P83" s="36" t="str">
        <f>IF(OR($D83="",$E83=""),"",IF(AND($D83&lt;=P$7+6,$E83&gt;=P$7),IF('Plan de Tareas'!$J82="Completada",2,1),""))</f>
        <v/>
      </c>
      <c r="Q83" s="36" t="str">
        <f>IF(OR($D83="",$E83=""),"",IF(AND($D83&lt;=Q$7+6,$E83&gt;=Q$7),IF('Plan de Tareas'!$J82="Completada",2,1),""))</f>
        <v/>
      </c>
      <c r="R83" s="36" t="str">
        <f>IF(OR($D83="",$E83=""),"",IF(AND($D83&lt;=R$7+6,$E83&gt;=R$7),IF('Plan de Tareas'!$J82="Completada",2,1),""))</f>
        <v/>
      </c>
      <c r="S83" s="36" t="str">
        <f>IF(OR($D83="",$E83=""),"",IF(AND($D83&lt;=S$7+6,$E83&gt;=S$7),IF('Plan de Tareas'!$J82="Completada",2,1),""))</f>
        <v/>
      </c>
      <c r="T83" s="36" t="str">
        <f>IF(OR($D83="",$E83=""),"",IF(AND($D83&lt;=T$7+6,$E83&gt;=T$7),IF('Plan de Tareas'!$J82="Completada",2,1),""))</f>
        <v/>
      </c>
      <c r="U83" s="36" t="str">
        <f>IF(OR($D83="",$E83=""),"",IF(AND($D83&lt;=U$7+6,$E83&gt;=U$7),IF('Plan de Tareas'!$J82="Completada",2,1),""))</f>
        <v/>
      </c>
      <c r="V83" s="36" t="str">
        <f>IF(OR($D83="",$E83=""),"",IF(AND($D83&lt;=V$7+6,$E83&gt;=V$7),IF('Plan de Tareas'!$J82="Completada",2,1),""))</f>
        <v/>
      </c>
      <c r="W83" s="36" t="str">
        <f>IF(OR($D83="",$E83=""),"",IF(AND($D83&lt;=W$7+6,$E83&gt;=W$7),IF('Plan de Tareas'!$J82="Completada",2,1),""))</f>
        <v/>
      </c>
      <c r="X83" s="36" t="str">
        <f>IF(OR($D83="",$E83=""),"",IF(AND($D83&lt;=X$7+6,$E83&gt;=X$7),IF('Plan de Tareas'!$J82="Completada",2,1),""))</f>
        <v/>
      </c>
      <c r="Y83" s="36" t="str">
        <f>IF(OR($D83="",$E83=""),"",IF(AND($D83&lt;=Y$7+6,$E83&gt;=Y$7),IF('Plan de Tareas'!$J82="Completada",2,1),""))</f>
        <v/>
      </c>
      <c r="Z83" s="36" t="str">
        <f>IF(OR($D83="",$E83=""),"",IF(AND($D83&lt;=Z$7+6,$E83&gt;=Z$7),IF('Plan de Tareas'!$J82="Completada",2,1),""))</f>
        <v/>
      </c>
      <c r="AA83" s="36" t="str">
        <f>IF(OR($D83="",$E83=""),"",IF(AND($D83&lt;=AA$7+6,$E83&gt;=AA$7),IF('Plan de Tareas'!$J82="Completada",2,1),""))</f>
        <v/>
      </c>
      <c r="AB83" s="36" t="str">
        <f>IF(OR($D83="",$E83=""),"",IF(AND($D83&lt;=AB$7+6,$E83&gt;=AB$7),IF('Plan de Tareas'!$J82="Completada",2,1),""))</f>
        <v/>
      </c>
      <c r="AC83" s="36" t="str">
        <f>IF(OR($D83="",$E83=""),"",IF(AND($D83&lt;=AC$7+6,$E83&gt;=AC$7),IF('Plan de Tareas'!$J82="Completada",2,1),""))</f>
        <v/>
      </c>
      <c r="AD83" s="36" t="str">
        <f>IF(OR($D83="",$E83=""),"",IF(AND($D83&lt;=AD$7+6,$E83&gt;=AD$7),IF('Plan de Tareas'!$J82="Completada",2,1),""))</f>
        <v/>
      </c>
      <c r="AE83" s="36" t="str">
        <f>IF(OR($D83="",$E83=""),"",IF(AND($D83&lt;=AE$7+6,$E83&gt;=AE$7),IF('Plan de Tareas'!$J82="Completada",2,1),""))</f>
        <v/>
      </c>
    </row>
    <row r="84" spans="1:31" ht="15" customHeight="1" x14ac:dyDescent="0.3">
      <c r="A84" s="34" t="str">
        <f>IF('Plan de Tareas'!$C83="","",'Plan de Tareas'!$A83)</f>
        <v/>
      </c>
      <c r="B84" s="20" t="str">
        <f>IF('Plan de Tareas'!$C83="","",'Plan de Tareas'!$C83)</f>
        <v/>
      </c>
      <c r="C84" s="20" t="str">
        <f>IF('Plan de Tareas'!$C83="","",'Plan de Tareas'!$D83)</f>
        <v/>
      </c>
      <c r="D84" s="35" t="str">
        <f>IF('Plan de Tareas'!$F83="","",'Plan de Tareas'!$F83)</f>
        <v/>
      </c>
      <c r="E84" s="35" t="str">
        <f>IF('Plan de Tareas'!$G83="","",'Plan de Tareas'!$G83)</f>
        <v/>
      </c>
      <c r="F84" s="36" t="str">
        <f>IF(OR($D84="",$E84=""),"",IF(AND($D84&lt;=F$7+6,$E84&gt;=F$7),IF('Plan de Tareas'!$J83="Completada",2,1),""))</f>
        <v/>
      </c>
      <c r="G84" s="36" t="str">
        <f>IF(OR($D84="",$E84=""),"",IF(AND($D84&lt;=G$7+6,$E84&gt;=G$7),IF('Plan de Tareas'!$J83="Completada",2,1),""))</f>
        <v/>
      </c>
      <c r="H84" s="36" t="str">
        <f>IF(OR($D84="",$E84=""),"",IF(AND($D84&lt;=H$7+6,$E84&gt;=H$7),IF('Plan de Tareas'!$J83="Completada",2,1),""))</f>
        <v/>
      </c>
      <c r="I84" s="36" t="str">
        <f>IF(OR($D84="",$E84=""),"",IF(AND($D84&lt;=I$7+6,$E84&gt;=I$7),IF('Plan de Tareas'!$J83="Completada",2,1),""))</f>
        <v/>
      </c>
      <c r="J84" s="36" t="str">
        <f>IF(OR($D84="",$E84=""),"",IF(AND($D84&lt;=J$7+6,$E84&gt;=J$7),IF('Plan de Tareas'!$J83="Completada",2,1),""))</f>
        <v/>
      </c>
      <c r="K84" s="36" t="str">
        <f>IF(OR($D84="",$E84=""),"",IF(AND($D84&lt;=K$7+6,$E84&gt;=K$7),IF('Plan de Tareas'!$J83="Completada",2,1),""))</f>
        <v/>
      </c>
      <c r="L84" s="36" t="str">
        <f>IF(OR($D84="",$E84=""),"",IF(AND($D84&lt;=L$7+6,$E84&gt;=L$7),IF('Plan de Tareas'!$J83="Completada",2,1),""))</f>
        <v/>
      </c>
      <c r="M84" s="36" t="str">
        <f>IF(OR($D84="",$E84=""),"",IF(AND($D84&lt;=M$7+6,$E84&gt;=M$7),IF('Plan de Tareas'!$J83="Completada",2,1),""))</f>
        <v/>
      </c>
      <c r="N84" s="36" t="str">
        <f>IF(OR($D84="",$E84=""),"",IF(AND($D84&lt;=N$7+6,$E84&gt;=N$7),IF('Plan de Tareas'!$J83="Completada",2,1),""))</f>
        <v/>
      </c>
      <c r="O84" s="36" t="str">
        <f>IF(OR($D84="",$E84=""),"",IF(AND($D84&lt;=O$7+6,$E84&gt;=O$7),IF('Plan de Tareas'!$J83="Completada",2,1),""))</f>
        <v/>
      </c>
      <c r="P84" s="36" t="str">
        <f>IF(OR($D84="",$E84=""),"",IF(AND($D84&lt;=P$7+6,$E84&gt;=P$7),IF('Plan de Tareas'!$J83="Completada",2,1),""))</f>
        <v/>
      </c>
      <c r="Q84" s="36" t="str">
        <f>IF(OR($D84="",$E84=""),"",IF(AND($D84&lt;=Q$7+6,$E84&gt;=Q$7),IF('Plan de Tareas'!$J83="Completada",2,1),""))</f>
        <v/>
      </c>
      <c r="R84" s="36" t="str">
        <f>IF(OR($D84="",$E84=""),"",IF(AND($D84&lt;=R$7+6,$E84&gt;=R$7),IF('Plan de Tareas'!$J83="Completada",2,1),""))</f>
        <v/>
      </c>
      <c r="S84" s="36" t="str">
        <f>IF(OR($D84="",$E84=""),"",IF(AND($D84&lt;=S$7+6,$E84&gt;=S$7),IF('Plan de Tareas'!$J83="Completada",2,1),""))</f>
        <v/>
      </c>
      <c r="T84" s="36" t="str">
        <f>IF(OR($D84="",$E84=""),"",IF(AND($D84&lt;=T$7+6,$E84&gt;=T$7),IF('Plan de Tareas'!$J83="Completada",2,1),""))</f>
        <v/>
      </c>
      <c r="U84" s="36" t="str">
        <f>IF(OR($D84="",$E84=""),"",IF(AND($D84&lt;=U$7+6,$E84&gt;=U$7),IF('Plan de Tareas'!$J83="Completada",2,1),""))</f>
        <v/>
      </c>
      <c r="V84" s="36" t="str">
        <f>IF(OR($D84="",$E84=""),"",IF(AND($D84&lt;=V$7+6,$E84&gt;=V$7),IF('Plan de Tareas'!$J83="Completada",2,1),""))</f>
        <v/>
      </c>
      <c r="W84" s="36" t="str">
        <f>IF(OR($D84="",$E84=""),"",IF(AND($D84&lt;=W$7+6,$E84&gt;=W$7),IF('Plan de Tareas'!$J83="Completada",2,1),""))</f>
        <v/>
      </c>
      <c r="X84" s="36" t="str">
        <f>IF(OR($D84="",$E84=""),"",IF(AND($D84&lt;=X$7+6,$E84&gt;=X$7),IF('Plan de Tareas'!$J83="Completada",2,1),""))</f>
        <v/>
      </c>
      <c r="Y84" s="36" t="str">
        <f>IF(OR($D84="",$E84=""),"",IF(AND($D84&lt;=Y$7+6,$E84&gt;=Y$7),IF('Plan de Tareas'!$J83="Completada",2,1),""))</f>
        <v/>
      </c>
      <c r="Z84" s="36" t="str">
        <f>IF(OR($D84="",$E84=""),"",IF(AND($D84&lt;=Z$7+6,$E84&gt;=Z$7),IF('Plan de Tareas'!$J83="Completada",2,1),""))</f>
        <v/>
      </c>
      <c r="AA84" s="36" t="str">
        <f>IF(OR($D84="",$E84=""),"",IF(AND($D84&lt;=AA$7+6,$E84&gt;=AA$7),IF('Plan de Tareas'!$J83="Completada",2,1),""))</f>
        <v/>
      </c>
      <c r="AB84" s="36" t="str">
        <f>IF(OR($D84="",$E84=""),"",IF(AND($D84&lt;=AB$7+6,$E84&gt;=AB$7),IF('Plan de Tareas'!$J83="Completada",2,1),""))</f>
        <v/>
      </c>
      <c r="AC84" s="36" t="str">
        <f>IF(OR($D84="",$E84=""),"",IF(AND($D84&lt;=AC$7+6,$E84&gt;=AC$7),IF('Plan de Tareas'!$J83="Completada",2,1),""))</f>
        <v/>
      </c>
      <c r="AD84" s="36" t="str">
        <f>IF(OR($D84="",$E84=""),"",IF(AND($D84&lt;=AD$7+6,$E84&gt;=AD$7),IF('Plan de Tareas'!$J83="Completada",2,1),""))</f>
        <v/>
      </c>
      <c r="AE84" s="36" t="str">
        <f>IF(OR($D84="",$E84=""),"",IF(AND($D84&lt;=AE$7+6,$E84&gt;=AE$7),IF('Plan de Tareas'!$J83="Completada",2,1),""))</f>
        <v/>
      </c>
    </row>
    <row r="85" spans="1:31" ht="15" customHeight="1" x14ac:dyDescent="0.3">
      <c r="A85" s="37" t="str">
        <f>IF('Plan de Tareas'!$C84="","",'Plan de Tareas'!$A84)</f>
        <v/>
      </c>
      <c r="B85" s="26" t="str">
        <f>IF('Plan de Tareas'!$C84="","",'Plan de Tareas'!$C84)</f>
        <v/>
      </c>
      <c r="C85" s="26" t="str">
        <f>IF('Plan de Tareas'!$C84="","",'Plan de Tareas'!$D84)</f>
        <v/>
      </c>
      <c r="D85" s="38" t="str">
        <f>IF('Plan de Tareas'!$F84="","",'Plan de Tareas'!$F84)</f>
        <v/>
      </c>
      <c r="E85" s="38" t="str">
        <f>IF('Plan de Tareas'!$G84="","",'Plan de Tareas'!$G84)</f>
        <v/>
      </c>
      <c r="F85" s="36" t="str">
        <f>IF(OR($D85="",$E85=""),"",IF(AND($D85&lt;=F$7+6,$E85&gt;=F$7),IF('Plan de Tareas'!$J84="Completada",2,1),""))</f>
        <v/>
      </c>
      <c r="G85" s="36" t="str">
        <f>IF(OR($D85="",$E85=""),"",IF(AND($D85&lt;=G$7+6,$E85&gt;=G$7),IF('Plan de Tareas'!$J84="Completada",2,1),""))</f>
        <v/>
      </c>
      <c r="H85" s="36" t="str">
        <f>IF(OR($D85="",$E85=""),"",IF(AND($D85&lt;=H$7+6,$E85&gt;=H$7),IF('Plan de Tareas'!$J84="Completada",2,1),""))</f>
        <v/>
      </c>
      <c r="I85" s="36" t="str">
        <f>IF(OR($D85="",$E85=""),"",IF(AND($D85&lt;=I$7+6,$E85&gt;=I$7),IF('Plan de Tareas'!$J84="Completada",2,1),""))</f>
        <v/>
      </c>
      <c r="J85" s="36" t="str">
        <f>IF(OR($D85="",$E85=""),"",IF(AND($D85&lt;=J$7+6,$E85&gt;=J$7),IF('Plan de Tareas'!$J84="Completada",2,1),""))</f>
        <v/>
      </c>
      <c r="K85" s="36" t="str">
        <f>IF(OR($D85="",$E85=""),"",IF(AND($D85&lt;=K$7+6,$E85&gt;=K$7),IF('Plan de Tareas'!$J84="Completada",2,1),""))</f>
        <v/>
      </c>
      <c r="L85" s="36" t="str">
        <f>IF(OR($D85="",$E85=""),"",IF(AND($D85&lt;=L$7+6,$E85&gt;=L$7),IF('Plan de Tareas'!$J84="Completada",2,1),""))</f>
        <v/>
      </c>
      <c r="M85" s="36" t="str">
        <f>IF(OR($D85="",$E85=""),"",IF(AND($D85&lt;=M$7+6,$E85&gt;=M$7),IF('Plan de Tareas'!$J84="Completada",2,1),""))</f>
        <v/>
      </c>
      <c r="N85" s="36" t="str">
        <f>IF(OR($D85="",$E85=""),"",IF(AND($D85&lt;=N$7+6,$E85&gt;=N$7),IF('Plan de Tareas'!$J84="Completada",2,1),""))</f>
        <v/>
      </c>
      <c r="O85" s="36" t="str">
        <f>IF(OR($D85="",$E85=""),"",IF(AND($D85&lt;=O$7+6,$E85&gt;=O$7),IF('Plan de Tareas'!$J84="Completada",2,1),""))</f>
        <v/>
      </c>
      <c r="P85" s="36" t="str">
        <f>IF(OR($D85="",$E85=""),"",IF(AND($D85&lt;=P$7+6,$E85&gt;=P$7),IF('Plan de Tareas'!$J84="Completada",2,1),""))</f>
        <v/>
      </c>
      <c r="Q85" s="36" t="str">
        <f>IF(OR($D85="",$E85=""),"",IF(AND($D85&lt;=Q$7+6,$E85&gt;=Q$7),IF('Plan de Tareas'!$J84="Completada",2,1),""))</f>
        <v/>
      </c>
      <c r="R85" s="36" t="str">
        <f>IF(OR($D85="",$E85=""),"",IF(AND($D85&lt;=R$7+6,$E85&gt;=R$7),IF('Plan de Tareas'!$J84="Completada",2,1),""))</f>
        <v/>
      </c>
      <c r="S85" s="36" t="str">
        <f>IF(OR($D85="",$E85=""),"",IF(AND($D85&lt;=S$7+6,$E85&gt;=S$7),IF('Plan de Tareas'!$J84="Completada",2,1),""))</f>
        <v/>
      </c>
      <c r="T85" s="36" t="str">
        <f>IF(OR($D85="",$E85=""),"",IF(AND($D85&lt;=T$7+6,$E85&gt;=T$7),IF('Plan de Tareas'!$J84="Completada",2,1),""))</f>
        <v/>
      </c>
      <c r="U85" s="36" t="str">
        <f>IF(OR($D85="",$E85=""),"",IF(AND($D85&lt;=U$7+6,$E85&gt;=U$7),IF('Plan de Tareas'!$J84="Completada",2,1),""))</f>
        <v/>
      </c>
      <c r="V85" s="36" t="str">
        <f>IF(OR($D85="",$E85=""),"",IF(AND($D85&lt;=V$7+6,$E85&gt;=V$7),IF('Plan de Tareas'!$J84="Completada",2,1),""))</f>
        <v/>
      </c>
      <c r="W85" s="36" t="str">
        <f>IF(OR($D85="",$E85=""),"",IF(AND($D85&lt;=W$7+6,$E85&gt;=W$7),IF('Plan de Tareas'!$J84="Completada",2,1),""))</f>
        <v/>
      </c>
      <c r="X85" s="36" t="str">
        <f>IF(OR($D85="",$E85=""),"",IF(AND($D85&lt;=X$7+6,$E85&gt;=X$7),IF('Plan de Tareas'!$J84="Completada",2,1),""))</f>
        <v/>
      </c>
      <c r="Y85" s="36" t="str">
        <f>IF(OR($D85="",$E85=""),"",IF(AND($D85&lt;=Y$7+6,$E85&gt;=Y$7),IF('Plan de Tareas'!$J84="Completada",2,1),""))</f>
        <v/>
      </c>
      <c r="Z85" s="36" t="str">
        <f>IF(OR($D85="",$E85=""),"",IF(AND($D85&lt;=Z$7+6,$E85&gt;=Z$7),IF('Plan de Tareas'!$J84="Completada",2,1),""))</f>
        <v/>
      </c>
      <c r="AA85" s="36" t="str">
        <f>IF(OR($D85="",$E85=""),"",IF(AND($D85&lt;=AA$7+6,$E85&gt;=AA$7),IF('Plan de Tareas'!$J84="Completada",2,1),""))</f>
        <v/>
      </c>
      <c r="AB85" s="36" t="str">
        <f>IF(OR($D85="",$E85=""),"",IF(AND($D85&lt;=AB$7+6,$E85&gt;=AB$7),IF('Plan de Tareas'!$J84="Completada",2,1),""))</f>
        <v/>
      </c>
      <c r="AC85" s="36" t="str">
        <f>IF(OR($D85="",$E85=""),"",IF(AND($D85&lt;=AC$7+6,$E85&gt;=AC$7),IF('Plan de Tareas'!$J84="Completada",2,1),""))</f>
        <v/>
      </c>
      <c r="AD85" s="36" t="str">
        <f>IF(OR($D85="",$E85=""),"",IF(AND($D85&lt;=AD$7+6,$E85&gt;=AD$7),IF('Plan de Tareas'!$J84="Completada",2,1),""))</f>
        <v/>
      </c>
      <c r="AE85" s="36" t="str">
        <f>IF(OR($D85="",$E85=""),"",IF(AND($D85&lt;=AE$7+6,$E85&gt;=AE$7),IF('Plan de Tareas'!$J84="Completada",2,1),""))</f>
        <v/>
      </c>
    </row>
    <row r="86" spans="1:31" ht="15" customHeight="1" x14ac:dyDescent="0.3">
      <c r="A86" s="34" t="str">
        <f>IF('Plan de Tareas'!$C85="","",'Plan de Tareas'!$A85)</f>
        <v/>
      </c>
      <c r="B86" s="20" t="str">
        <f>IF('Plan de Tareas'!$C85="","",'Plan de Tareas'!$C85)</f>
        <v/>
      </c>
      <c r="C86" s="20" t="str">
        <f>IF('Plan de Tareas'!$C85="","",'Plan de Tareas'!$D85)</f>
        <v/>
      </c>
      <c r="D86" s="35" t="str">
        <f>IF('Plan de Tareas'!$F85="","",'Plan de Tareas'!$F85)</f>
        <v/>
      </c>
      <c r="E86" s="35" t="str">
        <f>IF('Plan de Tareas'!$G85="","",'Plan de Tareas'!$G85)</f>
        <v/>
      </c>
      <c r="F86" s="36" t="str">
        <f>IF(OR($D86="",$E86=""),"",IF(AND($D86&lt;=F$7+6,$E86&gt;=F$7),IF('Plan de Tareas'!$J85="Completada",2,1),""))</f>
        <v/>
      </c>
      <c r="G86" s="36" t="str">
        <f>IF(OR($D86="",$E86=""),"",IF(AND($D86&lt;=G$7+6,$E86&gt;=G$7),IF('Plan de Tareas'!$J85="Completada",2,1),""))</f>
        <v/>
      </c>
      <c r="H86" s="36" t="str">
        <f>IF(OR($D86="",$E86=""),"",IF(AND($D86&lt;=H$7+6,$E86&gt;=H$7),IF('Plan de Tareas'!$J85="Completada",2,1),""))</f>
        <v/>
      </c>
      <c r="I86" s="36" t="str">
        <f>IF(OR($D86="",$E86=""),"",IF(AND($D86&lt;=I$7+6,$E86&gt;=I$7),IF('Plan de Tareas'!$J85="Completada",2,1),""))</f>
        <v/>
      </c>
      <c r="J86" s="36" t="str">
        <f>IF(OR($D86="",$E86=""),"",IF(AND($D86&lt;=J$7+6,$E86&gt;=J$7),IF('Plan de Tareas'!$J85="Completada",2,1),""))</f>
        <v/>
      </c>
      <c r="K86" s="36" t="str">
        <f>IF(OR($D86="",$E86=""),"",IF(AND($D86&lt;=K$7+6,$E86&gt;=K$7),IF('Plan de Tareas'!$J85="Completada",2,1),""))</f>
        <v/>
      </c>
      <c r="L86" s="36" t="str">
        <f>IF(OR($D86="",$E86=""),"",IF(AND($D86&lt;=L$7+6,$E86&gt;=L$7),IF('Plan de Tareas'!$J85="Completada",2,1),""))</f>
        <v/>
      </c>
      <c r="M86" s="36" t="str">
        <f>IF(OR($D86="",$E86=""),"",IF(AND($D86&lt;=M$7+6,$E86&gt;=M$7),IF('Plan de Tareas'!$J85="Completada",2,1),""))</f>
        <v/>
      </c>
      <c r="N86" s="36" t="str">
        <f>IF(OR($D86="",$E86=""),"",IF(AND($D86&lt;=N$7+6,$E86&gt;=N$7),IF('Plan de Tareas'!$J85="Completada",2,1),""))</f>
        <v/>
      </c>
      <c r="O86" s="36" t="str">
        <f>IF(OR($D86="",$E86=""),"",IF(AND($D86&lt;=O$7+6,$E86&gt;=O$7),IF('Plan de Tareas'!$J85="Completada",2,1),""))</f>
        <v/>
      </c>
      <c r="P86" s="36" t="str">
        <f>IF(OR($D86="",$E86=""),"",IF(AND($D86&lt;=P$7+6,$E86&gt;=P$7),IF('Plan de Tareas'!$J85="Completada",2,1),""))</f>
        <v/>
      </c>
      <c r="Q86" s="36" t="str">
        <f>IF(OR($D86="",$E86=""),"",IF(AND($D86&lt;=Q$7+6,$E86&gt;=Q$7),IF('Plan de Tareas'!$J85="Completada",2,1),""))</f>
        <v/>
      </c>
      <c r="R86" s="36" t="str">
        <f>IF(OR($D86="",$E86=""),"",IF(AND($D86&lt;=R$7+6,$E86&gt;=R$7),IF('Plan de Tareas'!$J85="Completada",2,1),""))</f>
        <v/>
      </c>
      <c r="S86" s="36" t="str">
        <f>IF(OR($D86="",$E86=""),"",IF(AND($D86&lt;=S$7+6,$E86&gt;=S$7),IF('Plan de Tareas'!$J85="Completada",2,1),""))</f>
        <v/>
      </c>
      <c r="T86" s="36" t="str">
        <f>IF(OR($D86="",$E86=""),"",IF(AND($D86&lt;=T$7+6,$E86&gt;=T$7),IF('Plan de Tareas'!$J85="Completada",2,1),""))</f>
        <v/>
      </c>
      <c r="U86" s="36" t="str">
        <f>IF(OR($D86="",$E86=""),"",IF(AND($D86&lt;=U$7+6,$E86&gt;=U$7),IF('Plan de Tareas'!$J85="Completada",2,1),""))</f>
        <v/>
      </c>
      <c r="V86" s="36" t="str">
        <f>IF(OR($D86="",$E86=""),"",IF(AND($D86&lt;=V$7+6,$E86&gt;=V$7),IF('Plan de Tareas'!$J85="Completada",2,1),""))</f>
        <v/>
      </c>
      <c r="W86" s="36" t="str">
        <f>IF(OR($D86="",$E86=""),"",IF(AND($D86&lt;=W$7+6,$E86&gt;=W$7),IF('Plan de Tareas'!$J85="Completada",2,1),""))</f>
        <v/>
      </c>
      <c r="X86" s="36" t="str">
        <f>IF(OR($D86="",$E86=""),"",IF(AND($D86&lt;=X$7+6,$E86&gt;=X$7),IF('Plan de Tareas'!$J85="Completada",2,1),""))</f>
        <v/>
      </c>
      <c r="Y86" s="36" t="str">
        <f>IF(OR($D86="",$E86=""),"",IF(AND($D86&lt;=Y$7+6,$E86&gt;=Y$7),IF('Plan de Tareas'!$J85="Completada",2,1),""))</f>
        <v/>
      </c>
      <c r="Z86" s="36" t="str">
        <f>IF(OR($D86="",$E86=""),"",IF(AND($D86&lt;=Z$7+6,$E86&gt;=Z$7),IF('Plan de Tareas'!$J85="Completada",2,1),""))</f>
        <v/>
      </c>
      <c r="AA86" s="36" t="str">
        <f>IF(OR($D86="",$E86=""),"",IF(AND($D86&lt;=AA$7+6,$E86&gt;=AA$7),IF('Plan de Tareas'!$J85="Completada",2,1),""))</f>
        <v/>
      </c>
      <c r="AB86" s="36" t="str">
        <f>IF(OR($D86="",$E86=""),"",IF(AND($D86&lt;=AB$7+6,$E86&gt;=AB$7),IF('Plan de Tareas'!$J85="Completada",2,1),""))</f>
        <v/>
      </c>
      <c r="AC86" s="36" t="str">
        <f>IF(OR($D86="",$E86=""),"",IF(AND($D86&lt;=AC$7+6,$E86&gt;=AC$7),IF('Plan de Tareas'!$J85="Completada",2,1),""))</f>
        <v/>
      </c>
      <c r="AD86" s="36" t="str">
        <f>IF(OR($D86="",$E86=""),"",IF(AND($D86&lt;=AD$7+6,$E86&gt;=AD$7),IF('Plan de Tareas'!$J85="Completada",2,1),""))</f>
        <v/>
      </c>
      <c r="AE86" s="36" t="str">
        <f>IF(OR($D86="",$E86=""),"",IF(AND($D86&lt;=AE$7+6,$E86&gt;=AE$7),IF('Plan de Tareas'!$J85="Completada",2,1),""))</f>
        <v/>
      </c>
    </row>
    <row r="87" spans="1:31" ht="15" customHeight="1" x14ac:dyDescent="0.3">
      <c r="A87" s="37" t="str">
        <f>IF('Plan de Tareas'!$C86="","",'Plan de Tareas'!$A86)</f>
        <v/>
      </c>
      <c r="B87" s="26" t="str">
        <f>IF('Plan de Tareas'!$C86="","",'Plan de Tareas'!$C86)</f>
        <v/>
      </c>
      <c r="C87" s="26" t="str">
        <f>IF('Plan de Tareas'!$C86="","",'Plan de Tareas'!$D86)</f>
        <v/>
      </c>
      <c r="D87" s="38" t="str">
        <f>IF('Plan de Tareas'!$F86="","",'Plan de Tareas'!$F86)</f>
        <v/>
      </c>
      <c r="E87" s="38" t="str">
        <f>IF('Plan de Tareas'!$G86="","",'Plan de Tareas'!$G86)</f>
        <v/>
      </c>
      <c r="F87" s="36" t="str">
        <f>IF(OR($D87="",$E87=""),"",IF(AND($D87&lt;=F$7+6,$E87&gt;=F$7),IF('Plan de Tareas'!$J86="Completada",2,1),""))</f>
        <v/>
      </c>
      <c r="G87" s="36" t="str">
        <f>IF(OR($D87="",$E87=""),"",IF(AND($D87&lt;=G$7+6,$E87&gt;=G$7),IF('Plan de Tareas'!$J86="Completada",2,1),""))</f>
        <v/>
      </c>
      <c r="H87" s="36" t="str">
        <f>IF(OR($D87="",$E87=""),"",IF(AND($D87&lt;=H$7+6,$E87&gt;=H$7),IF('Plan de Tareas'!$J86="Completada",2,1),""))</f>
        <v/>
      </c>
      <c r="I87" s="36" t="str">
        <f>IF(OR($D87="",$E87=""),"",IF(AND($D87&lt;=I$7+6,$E87&gt;=I$7),IF('Plan de Tareas'!$J86="Completada",2,1),""))</f>
        <v/>
      </c>
      <c r="J87" s="36" t="str">
        <f>IF(OR($D87="",$E87=""),"",IF(AND($D87&lt;=J$7+6,$E87&gt;=J$7),IF('Plan de Tareas'!$J86="Completada",2,1),""))</f>
        <v/>
      </c>
      <c r="K87" s="36" t="str">
        <f>IF(OR($D87="",$E87=""),"",IF(AND($D87&lt;=K$7+6,$E87&gt;=K$7),IF('Plan de Tareas'!$J86="Completada",2,1),""))</f>
        <v/>
      </c>
      <c r="L87" s="36" t="str">
        <f>IF(OR($D87="",$E87=""),"",IF(AND($D87&lt;=L$7+6,$E87&gt;=L$7),IF('Plan de Tareas'!$J86="Completada",2,1),""))</f>
        <v/>
      </c>
      <c r="M87" s="36" t="str">
        <f>IF(OR($D87="",$E87=""),"",IF(AND($D87&lt;=M$7+6,$E87&gt;=M$7),IF('Plan de Tareas'!$J86="Completada",2,1),""))</f>
        <v/>
      </c>
      <c r="N87" s="36" t="str">
        <f>IF(OR($D87="",$E87=""),"",IF(AND($D87&lt;=N$7+6,$E87&gt;=N$7),IF('Plan de Tareas'!$J86="Completada",2,1),""))</f>
        <v/>
      </c>
      <c r="O87" s="36" t="str">
        <f>IF(OR($D87="",$E87=""),"",IF(AND($D87&lt;=O$7+6,$E87&gt;=O$7),IF('Plan de Tareas'!$J86="Completada",2,1),""))</f>
        <v/>
      </c>
      <c r="P87" s="36" t="str">
        <f>IF(OR($D87="",$E87=""),"",IF(AND($D87&lt;=P$7+6,$E87&gt;=P$7),IF('Plan de Tareas'!$J86="Completada",2,1),""))</f>
        <v/>
      </c>
      <c r="Q87" s="36" t="str">
        <f>IF(OR($D87="",$E87=""),"",IF(AND($D87&lt;=Q$7+6,$E87&gt;=Q$7),IF('Plan de Tareas'!$J86="Completada",2,1),""))</f>
        <v/>
      </c>
      <c r="R87" s="36" t="str">
        <f>IF(OR($D87="",$E87=""),"",IF(AND($D87&lt;=R$7+6,$E87&gt;=R$7),IF('Plan de Tareas'!$J86="Completada",2,1),""))</f>
        <v/>
      </c>
      <c r="S87" s="36" t="str">
        <f>IF(OR($D87="",$E87=""),"",IF(AND($D87&lt;=S$7+6,$E87&gt;=S$7),IF('Plan de Tareas'!$J86="Completada",2,1),""))</f>
        <v/>
      </c>
      <c r="T87" s="36" t="str">
        <f>IF(OR($D87="",$E87=""),"",IF(AND($D87&lt;=T$7+6,$E87&gt;=T$7),IF('Plan de Tareas'!$J86="Completada",2,1),""))</f>
        <v/>
      </c>
      <c r="U87" s="36" t="str">
        <f>IF(OR($D87="",$E87=""),"",IF(AND($D87&lt;=U$7+6,$E87&gt;=U$7),IF('Plan de Tareas'!$J86="Completada",2,1),""))</f>
        <v/>
      </c>
      <c r="V87" s="36" t="str">
        <f>IF(OR($D87="",$E87=""),"",IF(AND($D87&lt;=V$7+6,$E87&gt;=V$7),IF('Plan de Tareas'!$J86="Completada",2,1),""))</f>
        <v/>
      </c>
      <c r="W87" s="36" t="str">
        <f>IF(OR($D87="",$E87=""),"",IF(AND($D87&lt;=W$7+6,$E87&gt;=W$7),IF('Plan de Tareas'!$J86="Completada",2,1),""))</f>
        <v/>
      </c>
      <c r="X87" s="36" t="str">
        <f>IF(OR($D87="",$E87=""),"",IF(AND($D87&lt;=X$7+6,$E87&gt;=X$7),IF('Plan de Tareas'!$J86="Completada",2,1),""))</f>
        <v/>
      </c>
      <c r="Y87" s="36" t="str">
        <f>IF(OR($D87="",$E87=""),"",IF(AND($D87&lt;=Y$7+6,$E87&gt;=Y$7),IF('Plan de Tareas'!$J86="Completada",2,1),""))</f>
        <v/>
      </c>
      <c r="Z87" s="36" t="str">
        <f>IF(OR($D87="",$E87=""),"",IF(AND($D87&lt;=Z$7+6,$E87&gt;=Z$7),IF('Plan de Tareas'!$J86="Completada",2,1),""))</f>
        <v/>
      </c>
      <c r="AA87" s="36" t="str">
        <f>IF(OR($D87="",$E87=""),"",IF(AND($D87&lt;=AA$7+6,$E87&gt;=AA$7),IF('Plan de Tareas'!$J86="Completada",2,1),""))</f>
        <v/>
      </c>
      <c r="AB87" s="36" t="str">
        <f>IF(OR($D87="",$E87=""),"",IF(AND($D87&lt;=AB$7+6,$E87&gt;=AB$7),IF('Plan de Tareas'!$J86="Completada",2,1),""))</f>
        <v/>
      </c>
      <c r="AC87" s="36" t="str">
        <f>IF(OR($D87="",$E87=""),"",IF(AND($D87&lt;=AC$7+6,$E87&gt;=AC$7),IF('Plan de Tareas'!$J86="Completada",2,1),""))</f>
        <v/>
      </c>
      <c r="AD87" s="36" t="str">
        <f>IF(OR($D87="",$E87=""),"",IF(AND($D87&lt;=AD$7+6,$E87&gt;=AD$7),IF('Plan de Tareas'!$J86="Completada",2,1),""))</f>
        <v/>
      </c>
      <c r="AE87" s="36" t="str">
        <f>IF(OR($D87="",$E87=""),"",IF(AND($D87&lt;=AE$7+6,$E87&gt;=AE$7),IF('Plan de Tareas'!$J86="Completada",2,1),""))</f>
        <v/>
      </c>
    </row>
    <row r="88" spans="1:31" ht="15" customHeight="1" x14ac:dyDescent="0.3">
      <c r="A88" s="34" t="str">
        <f>IF('Plan de Tareas'!$C87="","",'Plan de Tareas'!$A87)</f>
        <v/>
      </c>
      <c r="B88" s="20" t="str">
        <f>IF('Plan de Tareas'!$C87="","",'Plan de Tareas'!$C87)</f>
        <v/>
      </c>
      <c r="C88" s="20" t="str">
        <f>IF('Plan de Tareas'!$C87="","",'Plan de Tareas'!$D87)</f>
        <v/>
      </c>
      <c r="D88" s="35" t="str">
        <f>IF('Plan de Tareas'!$F87="","",'Plan de Tareas'!$F87)</f>
        <v/>
      </c>
      <c r="E88" s="35" t="str">
        <f>IF('Plan de Tareas'!$G87="","",'Plan de Tareas'!$G87)</f>
        <v/>
      </c>
      <c r="F88" s="36" t="str">
        <f>IF(OR($D88="",$E88=""),"",IF(AND($D88&lt;=F$7+6,$E88&gt;=F$7),IF('Plan de Tareas'!$J87="Completada",2,1),""))</f>
        <v/>
      </c>
      <c r="G88" s="36" t="str">
        <f>IF(OR($D88="",$E88=""),"",IF(AND($D88&lt;=G$7+6,$E88&gt;=G$7),IF('Plan de Tareas'!$J87="Completada",2,1),""))</f>
        <v/>
      </c>
      <c r="H88" s="36" t="str">
        <f>IF(OR($D88="",$E88=""),"",IF(AND($D88&lt;=H$7+6,$E88&gt;=H$7),IF('Plan de Tareas'!$J87="Completada",2,1),""))</f>
        <v/>
      </c>
      <c r="I88" s="36" t="str">
        <f>IF(OR($D88="",$E88=""),"",IF(AND($D88&lt;=I$7+6,$E88&gt;=I$7),IF('Plan de Tareas'!$J87="Completada",2,1),""))</f>
        <v/>
      </c>
      <c r="J88" s="36" t="str">
        <f>IF(OR($D88="",$E88=""),"",IF(AND($D88&lt;=J$7+6,$E88&gt;=J$7),IF('Plan de Tareas'!$J87="Completada",2,1),""))</f>
        <v/>
      </c>
      <c r="K88" s="36" t="str">
        <f>IF(OR($D88="",$E88=""),"",IF(AND($D88&lt;=K$7+6,$E88&gt;=K$7),IF('Plan de Tareas'!$J87="Completada",2,1),""))</f>
        <v/>
      </c>
      <c r="L88" s="36" t="str">
        <f>IF(OR($D88="",$E88=""),"",IF(AND($D88&lt;=L$7+6,$E88&gt;=L$7),IF('Plan de Tareas'!$J87="Completada",2,1),""))</f>
        <v/>
      </c>
      <c r="M88" s="36" t="str">
        <f>IF(OR($D88="",$E88=""),"",IF(AND($D88&lt;=M$7+6,$E88&gt;=M$7),IF('Plan de Tareas'!$J87="Completada",2,1),""))</f>
        <v/>
      </c>
      <c r="N88" s="36" t="str">
        <f>IF(OR($D88="",$E88=""),"",IF(AND($D88&lt;=N$7+6,$E88&gt;=N$7),IF('Plan de Tareas'!$J87="Completada",2,1),""))</f>
        <v/>
      </c>
      <c r="O88" s="36" t="str">
        <f>IF(OR($D88="",$E88=""),"",IF(AND($D88&lt;=O$7+6,$E88&gt;=O$7),IF('Plan de Tareas'!$J87="Completada",2,1),""))</f>
        <v/>
      </c>
      <c r="P88" s="36" t="str">
        <f>IF(OR($D88="",$E88=""),"",IF(AND($D88&lt;=P$7+6,$E88&gt;=P$7),IF('Plan de Tareas'!$J87="Completada",2,1),""))</f>
        <v/>
      </c>
      <c r="Q88" s="36" t="str">
        <f>IF(OR($D88="",$E88=""),"",IF(AND($D88&lt;=Q$7+6,$E88&gt;=Q$7),IF('Plan de Tareas'!$J87="Completada",2,1),""))</f>
        <v/>
      </c>
      <c r="R88" s="36" t="str">
        <f>IF(OR($D88="",$E88=""),"",IF(AND($D88&lt;=R$7+6,$E88&gt;=R$7),IF('Plan de Tareas'!$J87="Completada",2,1),""))</f>
        <v/>
      </c>
      <c r="S88" s="36" t="str">
        <f>IF(OR($D88="",$E88=""),"",IF(AND($D88&lt;=S$7+6,$E88&gt;=S$7),IF('Plan de Tareas'!$J87="Completada",2,1),""))</f>
        <v/>
      </c>
      <c r="T88" s="36" t="str">
        <f>IF(OR($D88="",$E88=""),"",IF(AND($D88&lt;=T$7+6,$E88&gt;=T$7),IF('Plan de Tareas'!$J87="Completada",2,1),""))</f>
        <v/>
      </c>
      <c r="U88" s="36" t="str">
        <f>IF(OR($D88="",$E88=""),"",IF(AND($D88&lt;=U$7+6,$E88&gt;=U$7),IF('Plan de Tareas'!$J87="Completada",2,1),""))</f>
        <v/>
      </c>
      <c r="V88" s="36" t="str">
        <f>IF(OR($D88="",$E88=""),"",IF(AND($D88&lt;=V$7+6,$E88&gt;=V$7),IF('Plan de Tareas'!$J87="Completada",2,1),""))</f>
        <v/>
      </c>
      <c r="W88" s="36" t="str">
        <f>IF(OR($D88="",$E88=""),"",IF(AND($D88&lt;=W$7+6,$E88&gt;=W$7),IF('Plan de Tareas'!$J87="Completada",2,1),""))</f>
        <v/>
      </c>
      <c r="X88" s="36" t="str">
        <f>IF(OR($D88="",$E88=""),"",IF(AND($D88&lt;=X$7+6,$E88&gt;=X$7),IF('Plan de Tareas'!$J87="Completada",2,1),""))</f>
        <v/>
      </c>
      <c r="Y88" s="36" t="str">
        <f>IF(OR($D88="",$E88=""),"",IF(AND($D88&lt;=Y$7+6,$E88&gt;=Y$7),IF('Plan de Tareas'!$J87="Completada",2,1),""))</f>
        <v/>
      </c>
      <c r="Z88" s="36" t="str">
        <f>IF(OR($D88="",$E88=""),"",IF(AND($D88&lt;=Z$7+6,$E88&gt;=Z$7),IF('Plan de Tareas'!$J87="Completada",2,1),""))</f>
        <v/>
      </c>
      <c r="AA88" s="36" t="str">
        <f>IF(OR($D88="",$E88=""),"",IF(AND($D88&lt;=AA$7+6,$E88&gt;=AA$7),IF('Plan de Tareas'!$J87="Completada",2,1),""))</f>
        <v/>
      </c>
      <c r="AB88" s="36" t="str">
        <f>IF(OR($D88="",$E88=""),"",IF(AND($D88&lt;=AB$7+6,$E88&gt;=AB$7),IF('Plan de Tareas'!$J87="Completada",2,1),""))</f>
        <v/>
      </c>
      <c r="AC88" s="36" t="str">
        <f>IF(OR($D88="",$E88=""),"",IF(AND($D88&lt;=AC$7+6,$E88&gt;=AC$7),IF('Plan de Tareas'!$J87="Completada",2,1),""))</f>
        <v/>
      </c>
      <c r="AD88" s="36" t="str">
        <f>IF(OR($D88="",$E88=""),"",IF(AND($D88&lt;=AD$7+6,$E88&gt;=AD$7),IF('Plan de Tareas'!$J87="Completada",2,1),""))</f>
        <v/>
      </c>
      <c r="AE88" s="36" t="str">
        <f>IF(OR($D88="",$E88=""),"",IF(AND($D88&lt;=AE$7+6,$E88&gt;=AE$7),IF('Plan de Tareas'!$J87="Completada",2,1),""))</f>
        <v/>
      </c>
    </row>
    <row r="89" spans="1:31" ht="15" customHeight="1" x14ac:dyDescent="0.3">
      <c r="A89" s="37" t="str">
        <f>IF('Plan de Tareas'!$C88="","",'Plan de Tareas'!$A88)</f>
        <v/>
      </c>
      <c r="B89" s="26" t="str">
        <f>IF('Plan de Tareas'!$C88="","",'Plan de Tareas'!$C88)</f>
        <v/>
      </c>
      <c r="C89" s="26" t="str">
        <f>IF('Plan de Tareas'!$C88="","",'Plan de Tareas'!$D88)</f>
        <v/>
      </c>
      <c r="D89" s="38" t="str">
        <f>IF('Plan de Tareas'!$F88="","",'Plan de Tareas'!$F88)</f>
        <v/>
      </c>
      <c r="E89" s="38" t="str">
        <f>IF('Plan de Tareas'!$G88="","",'Plan de Tareas'!$G88)</f>
        <v/>
      </c>
      <c r="F89" s="36" t="str">
        <f>IF(OR($D89="",$E89=""),"",IF(AND($D89&lt;=F$7+6,$E89&gt;=F$7),IF('Plan de Tareas'!$J88="Completada",2,1),""))</f>
        <v/>
      </c>
      <c r="G89" s="36" t="str">
        <f>IF(OR($D89="",$E89=""),"",IF(AND($D89&lt;=G$7+6,$E89&gt;=G$7),IF('Plan de Tareas'!$J88="Completada",2,1),""))</f>
        <v/>
      </c>
      <c r="H89" s="36" t="str">
        <f>IF(OR($D89="",$E89=""),"",IF(AND($D89&lt;=H$7+6,$E89&gt;=H$7),IF('Plan de Tareas'!$J88="Completada",2,1),""))</f>
        <v/>
      </c>
      <c r="I89" s="36" t="str">
        <f>IF(OR($D89="",$E89=""),"",IF(AND($D89&lt;=I$7+6,$E89&gt;=I$7),IF('Plan de Tareas'!$J88="Completada",2,1),""))</f>
        <v/>
      </c>
      <c r="J89" s="36" t="str">
        <f>IF(OR($D89="",$E89=""),"",IF(AND($D89&lt;=J$7+6,$E89&gt;=J$7),IF('Plan de Tareas'!$J88="Completada",2,1),""))</f>
        <v/>
      </c>
      <c r="K89" s="36" t="str">
        <f>IF(OR($D89="",$E89=""),"",IF(AND($D89&lt;=K$7+6,$E89&gt;=K$7),IF('Plan de Tareas'!$J88="Completada",2,1),""))</f>
        <v/>
      </c>
      <c r="L89" s="36" t="str">
        <f>IF(OR($D89="",$E89=""),"",IF(AND($D89&lt;=L$7+6,$E89&gt;=L$7),IF('Plan de Tareas'!$J88="Completada",2,1),""))</f>
        <v/>
      </c>
      <c r="M89" s="36" t="str">
        <f>IF(OR($D89="",$E89=""),"",IF(AND($D89&lt;=M$7+6,$E89&gt;=M$7),IF('Plan de Tareas'!$J88="Completada",2,1),""))</f>
        <v/>
      </c>
      <c r="N89" s="36" t="str">
        <f>IF(OR($D89="",$E89=""),"",IF(AND($D89&lt;=N$7+6,$E89&gt;=N$7),IF('Plan de Tareas'!$J88="Completada",2,1),""))</f>
        <v/>
      </c>
      <c r="O89" s="36" t="str">
        <f>IF(OR($D89="",$E89=""),"",IF(AND($D89&lt;=O$7+6,$E89&gt;=O$7),IF('Plan de Tareas'!$J88="Completada",2,1),""))</f>
        <v/>
      </c>
      <c r="P89" s="36" t="str">
        <f>IF(OR($D89="",$E89=""),"",IF(AND($D89&lt;=P$7+6,$E89&gt;=P$7),IF('Plan de Tareas'!$J88="Completada",2,1),""))</f>
        <v/>
      </c>
      <c r="Q89" s="36" t="str">
        <f>IF(OR($D89="",$E89=""),"",IF(AND($D89&lt;=Q$7+6,$E89&gt;=Q$7),IF('Plan de Tareas'!$J88="Completada",2,1),""))</f>
        <v/>
      </c>
      <c r="R89" s="36" t="str">
        <f>IF(OR($D89="",$E89=""),"",IF(AND($D89&lt;=R$7+6,$E89&gt;=R$7),IF('Plan de Tareas'!$J88="Completada",2,1),""))</f>
        <v/>
      </c>
      <c r="S89" s="36" t="str">
        <f>IF(OR($D89="",$E89=""),"",IF(AND($D89&lt;=S$7+6,$E89&gt;=S$7),IF('Plan de Tareas'!$J88="Completada",2,1),""))</f>
        <v/>
      </c>
      <c r="T89" s="36" t="str">
        <f>IF(OR($D89="",$E89=""),"",IF(AND($D89&lt;=T$7+6,$E89&gt;=T$7),IF('Plan de Tareas'!$J88="Completada",2,1),""))</f>
        <v/>
      </c>
      <c r="U89" s="36" t="str">
        <f>IF(OR($D89="",$E89=""),"",IF(AND($D89&lt;=U$7+6,$E89&gt;=U$7),IF('Plan de Tareas'!$J88="Completada",2,1),""))</f>
        <v/>
      </c>
      <c r="V89" s="36" t="str">
        <f>IF(OR($D89="",$E89=""),"",IF(AND($D89&lt;=V$7+6,$E89&gt;=V$7),IF('Plan de Tareas'!$J88="Completada",2,1),""))</f>
        <v/>
      </c>
      <c r="W89" s="36" t="str">
        <f>IF(OR($D89="",$E89=""),"",IF(AND($D89&lt;=W$7+6,$E89&gt;=W$7),IF('Plan de Tareas'!$J88="Completada",2,1),""))</f>
        <v/>
      </c>
      <c r="X89" s="36" t="str">
        <f>IF(OR($D89="",$E89=""),"",IF(AND($D89&lt;=X$7+6,$E89&gt;=X$7),IF('Plan de Tareas'!$J88="Completada",2,1),""))</f>
        <v/>
      </c>
      <c r="Y89" s="36" t="str">
        <f>IF(OR($D89="",$E89=""),"",IF(AND($D89&lt;=Y$7+6,$E89&gt;=Y$7),IF('Plan de Tareas'!$J88="Completada",2,1),""))</f>
        <v/>
      </c>
      <c r="Z89" s="36" t="str">
        <f>IF(OR($D89="",$E89=""),"",IF(AND($D89&lt;=Z$7+6,$E89&gt;=Z$7),IF('Plan de Tareas'!$J88="Completada",2,1),""))</f>
        <v/>
      </c>
      <c r="AA89" s="36" t="str">
        <f>IF(OR($D89="",$E89=""),"",IF(AND($D89&lt;=AA$7+6,$E89&gt;=AA$7),IF('Plan de Tareas'!$J88="Completada",2,1),""))</f>
        <v/>
      </c>
      <c r="AB89" s="36" t="str">
        <f>IF(OR($D89="",$E89=""),"",IF(AND($D89&lt;=AB$7+6,$E89&gt;=AB$7),IF('Plan de Tareas'!$J88="Completada",2,1),""))</f>
        <v/>
      </c>
      <c r="AC89" s="36" t="str">
        <f>IF(OR($D89="",$E89=""),"",IF(AND($D89&lt;=AC$7+6,$E89&gt;=AC$7),IF('Plan de Tareas'!$J88="Completada",2,1),""))</f>
        <v/>
      </c>
      <c r="AD89" s="36" t="str">
        <f>IF(OR($D89="",$E89=""),"",IF(AND($D89&lt;=AD$7+6,$E89&gt;=AD$7),IF('Plan de Tareas'!$J88="Completada",2,1),""))</f>
        <v/>
      </c>
      <c r="AE89" s="36" t="str">
        <f>IF(OR($D89="",$E89=""),"",IF(AND($D89&lt;=AE$7+6,$E89&gt;=AE$7),IF('Plan de Tareas'!$J88="Completada",2,1),""))</f>
        <v/>
      </c>
    </row>
    <row r="90" spans="1:31" ht="15" customHeight="1" x14ac:dyDescent="0.3">
      <c r="A90" s="34" t="str">
        <f>IF('Plan de Tareas'!$C89="","",'Plan de Tareas'!$A89)</f>
        <v/>
      </c>
      <c r="B90" s="20" t="str">
        <f>IF('Plan de Tareas'!$C89="","",'Plan de Tareas'!$C89)</f>
        <v/>
      </c>
      <c r="C90" s="20" t="str">
        <f>IF('Plan de Tareas'!$C89="","",'Plan de Tareas'!$D89)</f>
        <v/>
      </c>
      <c r="D90" s="35" t="str">
        <f>IF('Plan de Tareas'!$F89="","",'Plan de Tareas'!$F89)</f>
        <v/>
      </c>
      <c r="E90" s="35" t="str">
        <f>IF('Plan de Tareas'!$G89="","",'Plan de Tareas'!$G89)</f>
        <v/>
      </c>
      <c r="F90" s="36" t="str">
        <f>IF(OR($D90="",$E90=""),"",IF(AND($D90&lt;=F$7+6,$E90&gt;=F$7),IF('Plan de Tareas'!$J89="Completada",2,1),""))</f>
        <v/>
      </c>
      <c r="G90" s="36" t="str">
        <f>IF(OR($D90="",$E90=""),"",IF(AND($D90&lt;=G$7+6,$E90&gt;=G$7),IF('Plan de Tareas'!$J89="Completada",2,1),""))</f>
        <v/>
      </c>
      <c r="H90" s="36" t="str">
        <f>IF(OR($D90="",$E90=""),"",IF(AND($D90&lt;=H$7+6,$E90&gt;=H$7),IF('Plan de Tareas'!$J89="Completada",2,1),""))</f>
        <v/>
      </c>
      <c r="I90" s="36" t="str">
        <f>IF(OR($D90="",$E90=""),"",IF(AND($D90&lt;=I$7+6,$E90&gt;=I$7),IF('Plan de Tareas'!$J89="Completada",2,1),""))</f>
        <v/>
      </c>
      <c r="J90" s="36" t="str">
        <f>IF(OR($D90="",$E90=""),"",IF(AND($D90&lt;=J$7+6,$E90&gt;=J$7),IF('Plan de Tareas'!$J89="Completada",2,1),""))</f>
        <v/>
      </c>
      <c r="K90" s="36" t="str">
        <f>IF(OR($D90="",$E90=""),"",IF(AND($D90&lt;=K$7+6,$E90&gt;=K$7),IF('Plan de Tareas'!$J89="Completada",2,1),""))</f>
        <v/>
      </c>
      <c r="L90" s="36" t="str">
        <f>IF(OR($D90="",$E90=""),"",IF(AND($D90&lt;=L$7+6,$E90&gt;=L$7),IF('Plan de Tareas'!$J89="Completada",2,1),""))</f>
        <v/>
      </c>
      <c r="M90" s="36" t="str">
        <f>IF(OR($D90="",$E90=""),"",IF(AND($D90&lt;=M$7+6,$E90&gt;=M$7),IF('Plan de Tareas'!$J89="Completada",2,1),""))</f>
        <v/>
      </c>
      <c r="N90" s="36" t="str">
        <f>IF(OR($D90="",$E90=""),"",IF(AND($D90&lt;=N$7+6,$E90&gt;=N$7),IF('Plan de Tareas'!$J89="Completada",2,1),""))</f>
        <v/>
      </c>
      <c r="O90" s="36" t="str">
        <f>IF(OR($D90="",$E90=""),"",IF(AND($D90&lt;=O$7+6,$E90&gt;=O$7),IF('Plan de Tareas'!$J89="Completada",2,1),""))</f>
        <v/>
      </c>
      <c r="P90" s="36" t="str">
        <f>IF(OR($D90="",$E90=""),"",IF(AND($D90&lt;=P$7+6,$E90&gt;=P$7),IF('Plan de Tareas'!$J89="Completada",2,1),""))</f>
        <v/>
      </c>
      <c r="Q90" s="36" t="str">
        <f>IF(OR($D90="",$E90=""),"",IF(AND($D90&lt;=Q$7+6,$E90&gt;=Q$7),IF('Plan de Tareas'!$J89="Completada",2,1),""))</f>
        <v/>
      </c>
      <c r="R90" s="36" t="str">
        <f>IF(OR($D90="",$E90=""),"",IF(AND($D90&lt;=R$7+6,$E90&gt;=R$7),IF('Plan de Tareas'!$J89="Completada",2,1),""))</f>
        <v/>
      </c>
      <c r="S90" s="36" t="str">
        <f>IF(OR($D90="",$E90=""),"",IF(AND($D90&lt;=S$7+6,$E90&gt;=S$7),IF('Plan de Tareas'!$J89="Completada",2,1),""))</f>
        <v/>
      </c>
      <c r="T90" s="36" t="str">
        <f>IF(OR($D90="",$E90=""),"",IF(AND($D90&lt;=T$7+6,$E90&gt;=T$7),IF('Plan de Tareas'!$J89="Completada",2,1),""))</f>
        <v/>
      </c>
      <c r="U90" s="36" t="str">
        <f>IF(OR($D90="",$E90=""),"",IF(AND($D90&lt;=U$7+6,$E90&gt;=U$7),IF('Plan de Tareas'!$J89="Completada",2,1),""))</f>
        <v/>
      </c>
      <c r="V90" s="36" t="str">
        <f>IF(OR($D90="",$E90=""),"",IF(AND($D90&lt;=V$7+6,$E90&gt;=V$7),IF('Plan de Tareas'!$J89="Completada",2,1),""))</f>
        <v/>
      </c>
      <c r="W90" s="36" t="str">
        <f>IF(OR($D90="",$E90=""),"",IF(AND($D90&lt;=W$7+6,$E90&gt;=W$7),IF('Plan de Tareas'!$J89="Completada",2,1),""))</f>
        <v/>
      </c>
      <c r="X90" s="36" t="str">
        <f>IF(OR($D90="",$E90=""),"",IF(AND($D90&lt;=X$7+6,$E90&gt;=X$7),IF('Plan de Tareas'!$J89="Completada",2,1),""))</f>
        <v/>
      </c>
      <c r="Y90" s="36" t="str">
        <f>IF(OR($D90="",$E90=""),"",IF(AND($D90&lt;=Y$7+6,$E90&gt;=Y$7),IF('Plan de Tareas'!$J89="Completada",2,1),""))</f>
        <v/>
      </c>
      <c r="Z90" s="36" t="str">
        <f>IF(OR($D90="",$E90=""),"",IF(AND($D90&lt;=Z$7+6,$E90&gt;=Z$7),IF('Plan de Tareas'!$J89="Completada",2,1),""))</f>
        <v/>
      </c>
      <c r="AA90" s="36" t="str">
        <f>IF(OR($D90="",$E90=""),"",IF(AND($D90&lt;=AA$7+6,$E90&gt;=AA$7),IF('Plan de Tareas'!$J89="Completada",2,1),""))</f>
        <v/>
      </c>
      <c r="AB90" s="36" t="str">
        <f>IF(OR($D90="",$E90=""),"",IF(AND($D90&lt;=AB$7+6,$E90&gt;=AB$7),IF('Plan de Tareas'!$J89="Completada",2,1),""))</f>
        <v/>
      </c>
      <c r="AC90" s="36" t="str">
        <f>IF(OR($D90="",$E90=""),"",IF(AND($D90&lt;=AC$7+6,$E90&gt;=AC$7),IF('Plan de Tareas'!$J89="Completada",2,1),""))</f>
        <v/>
      </c>
      <c r="AD90" s="36" t="str">
        <f>IF(OR($D90="",$E90=""),"",IF(AND($D90&lt;=AD$7+6,$E90&gt;=AD$7),IF('Plan de Tareas'!$J89="Completada",2,1),""))</f>
        <v/>
      </c>
      <c r="AE90" s="36" t="str">
        <f>IF(OR($D90="",$E90=""),"",IF(AND($D90&lt;=AE$7+6,$E90&gt;=AE$7),IF('Plan de Tareas'!$J89="Completada",2,1),""))</f>
        <v/>
      </c>
    </row>
    <row r="91" spans="1:31" ht="15" customHeight="1" x14ac:dyDescent="0.3">
      <c r="A91" s="37" t="str">
        <f>IF('Plan de Tareas'!$C90="","",'Plan de Tareas'!$A90)</f>
        <v/>
      </c>
      <c r="B91" s="26" t="str">
        <f>IF('Plan de Tareas'!$C90="","",'Plan de Tareas'!$C90)</f>
        <v/>
      </c>
      <c r="C91" s="26" t="str">
        <f>IF('Plan de Tareas'!$C90="","",'Plan de Tareas'!$D90)</f>
        <v/>
      </c>
      <c r="D91" s="38" t="str">
        <f>IF('Plan de Tareas'!$F90="","",'Plan de Tareas'!$F90)</f>
        <v/>
      </c>
      <c r="E91" s="38" t="str">
        <f>IF('Plan de Tareas'!$G90="","",'Plan de Tareas'!$G90)</f>
        <v/>
      </c>
      <c r="F91" s="36" t="str">
        <f>IF(OR($D91="",$E91=""),"",IF(AND($D91&lt;=F$7+6,$E91&gt;=F$7),IF('Plan de Tareas'!$J90="Completada",2,1),""))</f>
        <v/>
      </c>
      <c r="G91" s="36" t="str">
        <f>IF(OR($D91="",$E91=""),"",IF(AND($D91&lt;=G$7+6,$E91&gt;=G$7),IF('Plan de Tareas'!$J90="Completada",2,1),""))</f>
        <v/>
      </c>
      <c r="H91" s="36" t="str">
        <f>IF(OR($D91="",$E91=""),"",IF(AND($D91&lt;=H$7+6,$E91&gt;=H$7),IF('Plan de Tareas'!$J90="Completada",2,1),""))</f>
        <v/>
      </c>
      <c r="I91" s="36" t="str">
        <f>IF(OR($D91="",$E91=""),"",IF(AND($D91&lt;=I$7+6,$E91&gt;=I$7),IF('Plan de Tareas'!$J90="Completada",2,1),""))</f>
        <v/>
      </c>
      <c r="J91" s="36" t="str">
        <f>IF(OR($D91="",$E91=""),"",IF(AND($D91&lt;=J$7+6,$E91&gt;=J$7),IF('Plan de Tareas'!$J90="Completada",2,1),""))</f>
        <v/>
      </c>
      <c r="K91" s="36" t="str">
        <f>IF(OR($D91="",$E91=""),"",IF(AND($D91&lt;=K$7+6,$E91&gt;=K$7),IF('Plan de Tareas'!$J90="Completada",2,1),""))</f>
        <v/>
      </c>
      <c r="L91" s="36" t="str">
        <f>IF(OR($D91="",$E91=""),"",IF(AND($D91&lt;=L$7+6,$E91&gt;=L$7),IF('Plan de Tareas'!$J90="Completada",2,1),""))</f>
        <v/>
      </c>
      <c r="M91" s="36" t="str">
        <f>IF(OR($D91="",$E91=""),"",IF(AND($D91&lt;=M$7+6,$E91&gt;=M$7),IF('Plan de Tareas'!$J90="Completada",2,1),""))</f>
        <v/>
      </c>
      <c r="N91" s="36" t="str">
        <f>IF(OR($D91="",$E91=""),"",IF(AND($D91&lt;=N$7+6,$E91&gt;=N$7),IF('Plan de Tareas'!$J90="Completada",2,1),""))</f>
        <v/>
      </c>
      <c r="O91" s="36" t="str">
        <f>IF(OR($D91="",$E91=""),"",IF(AND($D91&lt;=O$7+6,$E91&gt;=O$7),IF('Plan de Tareas'!$J90="Completada",2,1),""))</f>
        <v/>
      </c>
      <c r="P91" s="36" t="str">
        <f>IF(OR($D91="",$E91=""),"",IF(AND($D91&lt;=P$7+6,$E91&gt;=P$7),IF('Plan de Tareas'!$J90="Completada",2,1),""))</f>
        <v/>
      </c>
      <c r="Q91" s="36" t="str">
        <f>IF(OR($D91="",$E91=""),"",IF(AND($D91&lt;=Q$7+6,$E91&gt;=Q$7),IF('Plan de Tareas'!$J90="Completada",2,1),""))</f>
        <v/>
      </c>
      <c r="R91" s="36" t="str">
        <f>IF(OR($D91="",$E91=""),"",IF(AND($D91&lt;=R$7+6,$E91&gt;=R$7),IF('Plan de Tareas'!$J90="Completada",2,1),""))</f>
        <v/>
      </c>
      <c r="S91" s="36" t="str">
        <f>IF(OR($D91="",$E91=""),"",IF(AND($D91&lt;=S$7+6,$E91&gt;=S$7),IF('Plan de Tareas'!$J90="Completada",2,1),""))</f>
        <v/>
      </c>
      <c r="T91" s="36" t="str">
        <f>IF(OR($D91="",$E91=""),"",IF(AND($D91&lt;=T$7+6,$E91&gt;=T$7),IF('Plan de Tareas'!$J90="Completada",2,1),""))</f>
        <v/>
      </c>
      <c r="U91" s="36" t="str">
        <f>IF(OR($D91="",$E91=""),"",IF(AND($D91&lt;=U$7+6,$E91&gt;=U$7),IF('Plan de Tareas'!$J90="Completada",2,1),""))</f>
        <v/>
      </c>
      <c r="V91" s="36" t="str">
        <f>IF(OR($D91="",$E91=""),"",IF(AND($D91&lt;=V$7+6,$E91&gt;=V$7),IF('Plan de Tareas'!$J90="Completada",2,1),""))</f>
        <v/>
      </c>
      <c r="W91" s="36" t="str">
        <f>IF(OR($D91="",$E91=""),"",IF(AND($D91&lt;=W$7+6,$E91&gt;=W$7),IF('Plan de Tareas'!$J90="Completada",2,1),""))</f>
        <v/>
      </c>
      <c r="X91" s="36" t="str">
        <f>IF(OR($D91="",$E91=""),"",IF(AND($D91&lt;=X$7+6,$E91&gt;=X$7),IF('Plan de Tareas'!$J90="Completada",2,1),""))</f>
        <v/>
      </c>
      <c r="Y91" s="36" t="str">
        <f>IF(OR($D91="",$E91=""),"",IF(AND($D91&lt;=Y$7+6,$E91&gt;=Y$7),IF('Plan de Tareas'!$J90="Completada",2,1),""))</f>
        <v/>
      </c>
      <c r="Z91" s="36" t="str">
        <f>IF(OR($D91="",$E91=""),"",IF(AND($D91&lt;=Z$7+6,$E91&gt;=Z$7),IF('Plan de Tareas'!$J90="Completada",2,1),""))</f>
        <v/>
      </c>
      <c r="AA91" s="36" t="str">
        <f>IF(OR($D91="",$E91=""),"",IF(AND($D91&lt;=AA$7+6,$E91&gt;=AA$7),IF('Plan de Tareas'!$J90="Completada",2,1),""))</f>
        <v/>
      </c>
      <c r="AB91" s="36" t="str">
        <f>IF(OR($D91="",$E91=""),"",IF(AND($D91&lt;=AB$7+6,$E91&gt;=AB$7),IF('Plan de Tareas'!$J90="Completada",2,1),""))</f>
        <v/>
      </c>
      <c r="AC91" s="36" t="str">
        <f>IF(OR($D91="",$E91=""),"",IF(AND($D91&lt;=AC$7+6,$E91&gt;=AC$7),IF('Plan de Tareas'!$J90="Completada",2,1),""))</f>
        <v/>
      </c>
      <c r="AD91" s="36" t="str">
        <f>IF(OR($D91="",$E91=""),"",IF(AND($D91&lt;=AD$7+6,$E91&gt;=AD$7),IF('Plan de Tareas'!$J90="Completada",2,1),""))</f>
        <v/>
      </c>
      <c r="AE91" s="36" t="str">
        <f>IF(OR($D91="",$E91=""),"",IF(AND($D91&lt;=AE$7+6,$E91&gt;=AE$7),IF('Plan de Tareas'!$J90="Completada",2,1),""))</f>
        <v/>
      </c>
    </row>
    <row r="92" spans="1:31" ht="15" customHeight="1" x14ac:dyDescent="0.3">
      <c r="A92" s="34" t="str">
        <f>IF('Plan de Tareas'!$C91="","",'Plan de Tareas'!$A91)</f>
        <v/>
      </c>
      <c r="B92" s="20" t="str">
        <f>IF('Plan de Tareas'!$C91="","",'Plan de Tareas'!$C91)</f>
        <v/>
      </c>
      <c r="C92" s="20" t="str">
        <f>IF('Plan de Tareas'!$C91="","",'Plan de Tareas'!$D91)</f>
        <v/>
      </c>
      <c r="D92" s="35" t="str">
        <f>IF('Plan de Tareas'!$F91="","",'Plan de Tareas'!$F91)</f>
        <v/>
      </c>
      <c r="E92" s="35" t="str">
        <f>IF('Plan de Tareas'!$G91="","",'Plan de Tareas'!$G91)</f>
        <v/>
      </c>
      <c r="F92" s="36" t="str">
        <f>IF(OR($D92="",$E92=""),"",IF(AND($D92&lt;=F$7+6,$E92&gt;=F$7),IF('Plan de Tareas'!$J91="Completada",2,1),""))</f>
        <v/>
      </c>
      <c r="G92" s="36" t="str">
        <f>IF(OR($D92="",$E92=""),"",IF(AND($D92&lt;=G$7+6,$E92&gt;=G$7),IF('Plan de Tareas'!$J91="Completada",2,1),""))</f>
        <v/>
      </c>
      <c r="H92" s="36" t="str">
        <f>IF(OR($D92="",$E92=""),"",IF(AND($D92&lt;=H$7+6,$E92&gt;=H$7),IF('Plan de Tareas'!$J91="Completada",2,1),""))</f>
        <v/>
      </c>
      <c r="I92" s="36" t="str">
        <f>IF(OR($D92="",$E92=""),"",IF(AND($D92&lt;=I$7+6,$E92&gt;=I$7),IF('Plan de Tareas'!$J91="Completada",2,1),""))</f>
        <v/>
      </c>
      <c r="J92" s="36" t="str">
        <f>IF(OR($D92="",$E92=""),"",IF(AND($D92&lt;=J$7+6,$E92&gt;=J$7),IF('Plan de Tareas'!$J91="Completada",2,1),""))</f>
        <v/>
      </c>
      <c r="K92" s="36" t="str">
        <f>IF(OR($D92="",$E92=""),"",IF(AND($D92&lt;=K$7+6,$E92&gt;=K$7),IF('Plan de Tareas'!$J91="Completada",2,1),""))</f>
        <v/>
      </c>
      <c r="L92" s="36" t="str">
        <f>IF(OR($D92="",$E92=""),"",IF(AND($D92&lt;=L$7+6,$E92&gt;=L$7),IF('Plan de Tareas'!$J91="Completada",2,1),""))</f>
        <v/>
      </c>
      <c r="M92" s="36" t="str">
        <f>IF(OR($D92="",$E92=""),"",IF(AND($D92&lt;=M$7+6,$E92&gt;=M$7),IF('Plan de Tareas'!$J91="Completada",2,1),""))</f>
        <v/>
      </c>
      <c r="N92" s="36" t="str">
        <f>IF(OR($D92="",$E92=""),"",IF(AND($D92&lt;=N$7+6,$E92&gt;=N$7),IF('Plan de Tareas'!$J91="Completada",2,1),""))</f>
        <v/>
      </c>
      <c r="O92" s="36" t="str">
        <f>IF(OR($D92="",$E92=""),"",IF(AND($D92&lt;=O$7+6,$E92&gt;=O$7),IF('Plan de Tareas'!$J91="Completada",2,1),""))</f>
        <v/>
      </c>
      <c r="P92" s="36" t="str">
        <f>IF(OR($D92="",$E92=""),"",IF(AND($D92&lt;=P$7+6,$E92&gt;=P$7),IF('Plan de Tareas'!$J91="Completada",2,1),""))</f>
        <v/>
      </c>
      <c r="Q92" s="36" t="str">
        <f>IF(OR($D92="",$E92=""),"",IF(AND($D92&lt;=Q$7+6,$E92&gt;=Q$7),IF('Plan de Tareas'!$J91="Completada",2,1),""))</f>
        <v/>
      </c>
      <c r="R92" s="36" t="str">
        <f>IF(OR($D92="",$E92=""),"",IF(AND($D92&lt;=R$7+6,$E92&gt;=R$7),IF('Plan de Tareas'!$J91="Completada",2,1),""))</f>
        <v/>
      </c>
      <c r="S92" s="36" t="str">
        <f>IF(OR($D92="",$E92=""),"",IF(AND($D92&lt;=S$7+6,$E92&gt;=S$7),IF('Plan de Tareas'!$J91="Completada",2,1),""))</f>
        <v/>
      </c>
      <c r="T92" s="36" t="str">
        <f>IF(OR($D92="",$E92=""),"",IF(AND($D92&lt;=T$7+6,$E92&gt;=T$7),IF('Plan de Tareas'!$J91="Completada",2,1),""))</f>
        <v/>
      </c>
      <c r="U92" s="36" t="str">
        <f>IF(OR($D92="",$E92=""),"",IF(AND($D92&lt;=U$7+6,$E92&gt;=U$7),IF('Plan de Tareas'!$J91="Completada",2,1),""))</f>
        <v/>
      </c>
      <c r="V92" s="36" t="str">
        <f>IF(OR($D92="",$E92=""),"",IF(AND($D92&lt;=V$7+6,$E92&gt;=V$7),IF('Plan de Tareas'!$J91="Completada",2,1),""))</f>
        <v/>
      </c>
      <c r="W92" s="36" t="str">
        <f>IF(OR($D92="",$E92=""),"",IF(AND($D92&lt;=W$7+6,$E92&gt;=W$7),IF('Plan de Tareas'!$J91="Completada",2,1),""))</f>
        <v/>
      </c>
      <c r="X92" s="36" t="str">
        <f>IF(OR($D92="",$E92=""),"",IF(AND($D92&lt;=X$7+6,$E92&gt;=X$7),IF('Plan de Tareas'!$J91="Completada",2,1),""))</f>
        <v/>
      </c>
      <c r="Y92" s="36" t="str">
        <f>IF(OR($D92="",$E92=""),"",IF(AND($D92&lt;=Y$7+6,$E92&gt;=Y$7),IF('Plan de Tareas'!$J91="Completada",2,1),""))</f>
        <v/>
      </c>
      <c r="Z92" s="36" t="str">
        <f>IF(OR($D92="",$E92=""),"",IF(AND($D92&lt;=Z$7+6,$E92&gt;=Z$7),IF('Plan de Tareas'!$J91="Completada",2,1),""))</f>
        <v/>
      </c>
      <c r="AA92" s="36" t="str">
        <f>IF(OR($D92="",$E92=""),"",IF(AND($D92&lt;=AA$7+6,$E92&gt;=AA$7),IF('Plan de Tareas'!$J91="Completada",2,1),""))</f>
        <v/>
      </c>
      <c r="AB92" s="36" t="str">
        <f>IF(OR($D92="",$E92=""),"",IF(AND($D92&lt;=AB$7+6,$E92&gt;=AB$7),IF('Plan de Tareas'!$J91="Completada",2,1),""))</f>
        <v/>
      </c>
      <c r="AC92" s="36" t="str">
        <f>IF(OR($D92="",$E92=""),"",IF(AND($D92&lt;=AC$7+6,$E92&gt;=AC$7),IF('Plan de Tareas'!$J91="Completada",2,1),""))</f>
        <v/>
      </c>
      <c r="AD92" s="36" t="str">
        <f>IF(OR($D92="",$E92=""),"",IF(AND($D92&lt;=AD$7+6,$E92&gt;=AD$7),IF('Plan de Tareas'!$J91="Completada",2,1),""))</f>
        <v/>
      </c>
      <c r="AE92" s="36" t="str">
        <f>IF(OR($D92="",$E92=""),"",IF(AND($D92&lt;=AE$7+6,$E92&gt;=AE$7),IF('Plan de Tareas'!$J91="Completada",2,1),""))</f>
        <v/>
      </c>
    </row>
    <row r="93" spans="1:31" ht="15" customHeight="1" x14ac:dyDescent="0.3">
      <c r="A93" s="37" t="str">
        <f>IF('Plan de Tareas'!$C92="","",'Plan de Tareas'!$A92)</f>
        <v/>
      </c>
      <c r="B93" s="26" t="str">
        <f>IF('Plan de Tareas'!$C92="","",'Plan de Tareas'!$C92)</f>
        <v/>
      </c>
      <c r="C93" s="26" t="str">
        <f>IF('Plan de Tareas'!$C92="","",'Plan de Tareas'!$D92)</f>
        <v/>
      </c>
      <c r="D93" s="38" t="str">
        <f>IF('Plan de Tareas'!$F92="","",'Plan de Tareas'!$F92)</f>
        <v/>
      </c>
      <c r="E93" s="38" t="str">
        <f>IF('Plan de Tareas'!$G92="","",'Plan de Tareas'!$G92)</f>
        <v/>
      </c>
      <c r="F93" s="36" t="str">
        <f>IF(OR($D93="",$E93=""),"",IF(AND($D93&lt;=F$7+6,$E93&gt;=F$7),IF('Plan de Tareas'!$J92="Completada",2,1),""))</f>
        <v/>
      </c>
      <c r="G93" s="36" t="str">
        <f>IF(OR($D93="",$E93=""),"",IF(AND($D93&lt;=G$7+6,$E93&gt;=G$7),IF('Plan de Tareas'!$J92="Completada",2,1),""))</f>
        <v/>
      </c>
      <c r="H93" s="36" t="str">
        <f>IF(OR($D93="",$E93=""),"",IF(AND($D93&lt;=H$7+6,$E93&gt;=H$7),IF('Plan de Tareas'!$J92="Completada",2,1),""))</f>
        <v/>
      </c>
      <c r="I93" s="36" t="str">
        <f>IF(OR($D93="",$E93=""),"",IF(AND($D93&lt;=I$7+6,$E93&gt;=I$7),IF('Plan de Tareas'!$J92="Completada",2,1),""))</f>
        <v/>
      </c>
      <c r="J93" s="36" t="str">
        <f>IF(OR($D93="",$E93=""),"",IF(AND($D93&lt;=J$7+6,$E93&gt;=J$7),IF('Plan de Tareas'!$J92="Completada",2,1),""))</f>
        <v/>
      </c>
      <c r="K93" s="36" t="str">
        <f>IF(OR($D93="",$E93=""),"",IF(AND($D93&lt;=K$7+6,$E93&gt;=K$7),IF('Plan de Tareas'!$J92="Completada",2,1),""))</f>
        <v/>
      </c>
      <c r="L93" s="36" t="str">
        <f>IF(OR($D93="",$E93=""),"",IF(AND($D93&lt;=L$7+6,$E93&gt;=L$7),IF('Plan de Tareas'!$J92="Completada",2,1),""))</f>
        <v/>
      </c>
      <c r="M93" s="36" t="str">
        <f>IF(OR($D93="",$E93=""),"",IF(AND($D93&lt;=M$7+6,$E93&gt;=M$7),IF('Plan de Tareas'!$J92="Completada",2,1),""))</f>
        <v/>
      </c>
      <c r="N93" s="36" t="str">
        <f>IF(OR($D93="",$E93=""),"",IF(AND($D93&lt;=N$7+6,$E93&gt;=N$7),IF('Plan de Tareas'!$J92="Completada",2,1),""))</f>
        <v/>
      </c>
      <c r="O93" s="36" t="str">
        <f>IF(OR($D93="",$E93=""),"",IF(AND($D93&lt;=O$7+6,$E93&gt;=O$7),IF('Plan de Tareas'!$J92="Completada",2,1),""))</f>
        <v/>
      </c>
      <c r="P93" s="36" t="str">
        <f>IF(OR($D93="",$E93=""),"",IF(AND($D93&lt;=P$7+6,$E93&gt;=P$7),IF('Plan de Tareas'!$J92="Completada",2,1),""))</f>
        <v/>
      </c>
      <c r="Q93" s="36" t="str">
        <f>IF(OR($D93="",$E93=""),"",IF(AND($D93&lt;=Q$7+6,$E93&gt;=Q$7),IF('Plan de Tareas'!$J92="Completada",2,1),""))</f>
        <v/>
      </c>
      <c r="R93" s="36" t="str">
        <f>IF(OR($D93="",$E93=""),"",IF(AND($D93&lt;=R$7+6,$E93&gt;=R$7),IF('Plan de Tareas'!$J92="Completada",2,1),""))</f>
        <v/>
      </c>
      <c r="S93" s="36" t="str">
        <f>IF(OR($D93="",$E93=""),"",IF(AND($D93&lt;=S$7+6,$E93&gt;=S$7),IF('Plan de Tareas'!$J92="Completada",2,1),""))</f>
        <v/>
      </c>
      <c r="T93" s="36" t="str">
        <f>IF(OR($D93="",$E93=""),"",IF(AND($D93&lt;=T$7+6,$E93&gt;=T$7),IF('Plan de Tareas'!$J92="Completada",2,1),""))</f>
        <v/>
      </c>
      <c r="U93" s="36" t="str">
        <f>IF(OR($D93="",$E93=""),"",IF(AND($D93&lt;=U$7+6,$E93&gt;=U$7),IF('Plan de Tareas'!$J92="Completada",2,1),""))</f>
        <v/>
      </c>
      <c r="V93" s="36" t="str">
        <f>IF(OR($D93="",$E93=""),"",IF(AND($D93&lt;=V$7+6,$E93&gt;=V$7),IF('Plan de Tareas'!$J92="Completada",2,1),""))</f>
        <v/>
      </c>
      <c r="W93" s="36" t="str">
        <f>IF(OR($D93="",$E93=""),"",IF(AND($D93&lt;=W$7+6,$E93&gt;=W$7),IF('Plan de Tareas'!$J92="Completada",2,1),""))</f>
        <v/>
      </c>
      <c r="X93" s="36" t="str">
        <f>IF(OR($D93="",$E93=""),"",IF(AND($D93&lt;=X$7+6,$E93&gt;=X$7),IF('Plan de Tareas'!$J92="Completada",2,1),""))</f>
        <v/>
      </c>
      <c r="Y93" s="36" t="str">
        <f>IF(OR($D93="",$E93=""),"",IF(AND($D93&lt;=Y$7+6,$E93&gt;=Y$7),IF('Plan de Tareas'!$J92="Completada",2,1),""))</f>
        <v/>
      </c>
      <c r="Z93" s="36" t="str">
        <f>IF(OR($D93="",$E93=""),"",IF(AND($D93&lt;=Z$7+6,$E93&gt;=Z$7),IF('Plan de Tareas'!$J92="Completada",2,1),""))</f>
        <v/>
      </c>
      <c r="AA93" s="36" t="str">
        <f>IF(OR($D93="",$E93=""),"",IF(AND($D93&lt;=AA$7+6,$E93&gt;=AA$7),IF('Plan de Tareas'!$J92="Completada",2,1),""))</f>
        <v/>
      </c>
      <c r="AB93" s="36" t="str">
        <f>IF(OR($D93="",$E93=""),"",IF(AND($D93&lt;=AB$7+6,$E93&gt;=AB$7),IF('Plan de Tareas'!$J92="Completada",2,1),""))</f>
        <v/>
      </c>
      <c r="AC93" s="36" t="str">
        <f>IF(OR($D93="",$E93=""),"",IF(AND($D93&lt;=AC$7+6,$E93&gt;=AC$7),IF('Plan de Tareas'!$J92="Completada",2,1),""))</f>
        <v/>
      </c>
      <c r="AD93" s="36" t="str">
        <f>IF(OR($D93="",$E93=""),"",IF(AND($D93&lt;=AD$7+6,$E93&gt;=AD$7),IF('Plan de Tareas'!$J92="Completada",2,1),""))</f>
        <v/>
      </c>
      <c r="AE93" s="36" t="str">
        <f>IF(OR($D93="",$E93=""),"",IF(AND($D93&lt;=AE$7+6,$E93&gt;=AE$7),IF('Plan de Tareas'!$J92="Completada",2,1),""))</f>
        <v/>
      </c>
    </row>
    <row r="94" spans="1:31" ht="15" customHeight="1" x14ac:dyDescent="0.3">
      <c r="A94" s="34" t="str">
        <f>IF('Plan de Tareas'!$C93="","",'Plan de Tareas'!$A93)</f>
        <v/>
      </c>
      <c r="B94" s="20" t="str">
        <f>IF('Plan de Tareas'!$C93="","",'Plan de Tareas'!$C93)</f>
        <v/>
      </c>
      <c r="C94" s="20" t="str">
        <f>IF('Plan de Tareas'!$C93="","",'Plan de Tareas'!$D93)</f>
        <v/>
      </c>
      <c r="D94" s="35" t="str">
        <f>IF('Plan de Tareas'!$F93="","",'Plan de Tareas'!$F93)</f>
        <v/>
      </c>
      <c r="E94" s="35" t="str">
        <f>IF('Plan de Tareas'!$G93="","",'Plan de Tareas'!$G93)</f>
        <v/>
      </c>
      <c r="F94" s="36" t="str">
        <f>IF(OR($D94="",$E94=""),"",IF(AND($D94&lt;=F$7+6,$E94&gt;=F$7),IF('Plan de Tareas'!$J93="Completada",2,1),""))</f>
        <v/>
      </c>
      <c r="G94" s="36" t="str">
        <f>IF(OR($D94="",$E94=""),"",IF(AND($D94&lt;=G$7+6,$E94&gt;=G$7),IF('Plan de Tareas'!$J93="Completada",2,1),""))</f>
        <v/>
      </c>
      <c r="H94" s="36" t="str">
        <f>IF(OR($D94="",$E94=""),"",IF(AND($D94&lt;=H$7+6,$E94&gt;=H$7),IF('Plan de Tareas'!$J93="Completada",2,1),""))</f>
        <v/>
      </c>
      <c r="I94" s="36" t="str">
        <f>IF(OR($D94="",$E94=""),"",IF(AND($D94&lt;=I$7+6,$E94&gt;=I$7),IF('Plan de Tareas'!$J93="Completada",2,1),""))</f>
        <v/>
      </c>
      <c r="J94" s="36" t="str">
        <f>IF(OR($D94="",$E94=""),"",IF(AND($D94&lt;=J$7+6,$E94&gt;=J$7),IF('Plan de Tareas'!$J93="Completada",2,1),""))</f>
        <v/>
      </c>
      <c r="K94" s="36" t="str">
        <f>IF(OR($D94="",$E94=""),"",IF(AND($D94&lt;=K$7+6,$E94&gt;=K$7),IF('Plan de Tareas'!$J93="Completada",2,1),""))</f>
        <v/>
      </c>
      <c r="L94" s="36" t="str">
        <f>IF(OR($D94="",$E94=""),"",IF(AND($D94&lt;=L$7+6,$E94&gt;=L$7),IF('Plan de Tareas'!$J93="Completada",2,1),""))</f>
        <v/>
      </c>
      <c r="M94" s="36" t="str">
        <f>IF(OR($D94="",$E94=""),"",IF(AND($D94&lt;=M$7+6,$E94&gt;=M$7),IF('Plan de Tareas'!$J93="Completada",2,1),""))</f>
        <v/>
      </c>
      <c r="N94" s="36" t="str">
        <f>IF(OR($D94="",$E94=""),"",IF(AND($D94&lt;=N$7+6,$E94&gt;=N$7),IF('Plan de Tareas'!$J93="Completada",2,1),""))</f>
        <v/>
      </c>
      <c r="O94" s="36" t="str">
        <f>IF(OR($D94="",$E94=""),"",IF(AND($D94&lt;=O$7+6,$E94&gt;=O$7),IF('Plan de Tareas'!$J93="Completada",2,1),""))</f>
        <v/>
      </c>
      <c r="P94" s="36" t="str">
        <f>IF(OR($D94="",$E94=""),"",IF(AND($D94&lt;=P$7+6,$E94&gt;=P$7),IF('Plan de Tareas'!$J93="Completada",2,1),""))</f>
        <v/>
      </c>
      <c r="Q94" s="36" t="str">
        <f>IF(OR($D94="",$E94=""),"",IF(AND($D94&lt;=Q$7+6,$E94&gt;=Q$7),IF('Plan de Tareas'!$J93="Completada",2,1),""))</f>
        <v/>
      </c>
      <c r="R94" s="36" t="str">
        <f>IF(OR($D94="",$E94=""),"",IF(AND($D94&lt;=R$7+6,$E94&gt;=R$7),IF('Plan de Tareas'!$J93="Completada",2,1),""))</f>
        <v/>
      </c>
      <c r="S94" s="36" t="str">
        <f>IF(OR($D94="",$E94=""),"",IF(AND($D94&lt;=S$7+6,$E94&gt;=S$7),IF('Plan de Tareas'!$J93="Completada",2,1),""))</f>
        <v/>
      </c>
      <c r="T94" s="36" t="str">
        <f>IF(OR($D94="",$E94=""),"",IF(AND($D94&lt;=T$7+6,$E94&gt;=T$7),IF('Plan de Tareas'!$J93="Completada",2,1),""))</f>
        <v/>
      </c>
      <c r="U94" s="36" t="str">
        <f>IF(OR($D94="",$E94=""),"",IF(AND($D94&lt;=U$7+6,$E94&gt;=U$7),IF('Plan de Tareas'!$J93="Completada",2,1),""))</f>
        <v/>
      </c>
      <c r="V94" s="36" t="str">
        <f>IF(OR($D94="",$E94=""),"",IF(AND($D94&lt;=V$7+6,$E94&gt;=V$7),IF('Plan de Tareas'!$J93="Completada",2,1),""))</f>
        <v/>
      </c>
      <c r="W94" s="36" t="str">
        <f>IF(OR($D94="",$E94=""),"",IF(AND($D94&lt;=W$7+6,$E94&gt;=W$7),IF('Plan de Tareas'!$J93="Completada",2,1),""))</f>
        <v/>
      </c>
      <c r="X94" s="36" t="str">
        <f>IF(OR($D94="",$E94=""),"",IF(AND($D94&lt;=X$7+6,$E94&gt;=X$7),IF('Plan de Tareas'!$J93="Completada",2,1),""))</f>
        <v/>
      </c>
      <c r="Y94" s="36" t="str">
        <f>IF(OR($D94="",$E94=""),"",IF(AND($D94&lt;=Y$7+6,$E94&gt;=Y$7),IF('Plan de Tareas'!$J93="Completada",2,1),""))</f>
        <v/>
      </c>
      <c r="Z94" s="36" t="str">
        <f>IF(OR($D94="",$E94=""),"",IF(AND($D94&lt;=Z$7+6,$E94&gt;=Z$7),IF('Plan de Tareas'!$J93="Completada",2,1),""))</f>
        <v/>
      </c>
      <c r="AA94" s="36" t="str">
        <f>IF(OR($D94="",$E94=""),"",IF(AND($D94&lt;=AA$7+6,$E94&gt;=AA$7),IF('Plan de Tareas'!$J93="Completada",2,1),""))</f>
        <v/>
      </c>
      <c r="AB94" s="36" t="str">
        <f>IF(OR($D94="",$E94=""),"",IF(AND($D94&lt;=AB$7+6,$E94&gt;=AB$7),IF('Plan de Tareas'!$J93="Completada",2,1),""))</f>
        <v/>
      </c>
      <c r="AC94" s="36" t="str">
        <f>IF(OR($D94="",$E94=""),"",IF(AND($D94&lt;=AC$7+6,$E94&gt;=AC$7),IF('Plan de Tareas'!$J93="Completada",2,1),""))</f>
        <v/>
      </c>
      <c r="AD94" s="36" t="str">
        <f>IF(OR($D94="",$E94=""),"",IF(AND($D94&lt;=AD$7+6,$E94&gt;=AD$7),IF('Plan de Tareas'!$J93="Completada",2,1),""))</f>
        <v/>
      </c>
      <c r="AE94" s="36" t="str">
        <f>IF(OR($D94="",$E94=""),"",IF(AND($D94&lt;=AE$7+6,$E94&gt;=AE$7),IF('Plan de Tareas'!$J93="Completada",2,1),""))</f>
        <v/>
      </c>
    </row>
    <row r="95" spans="1:31" ht="15" customHeight="1" x14ac:dyDescent="0.3">
      <c r="A95" s="37" t="str">
        <f>IF('Plan de Tareas'!$C94="","",'Plan de Tareas'!$A94)</f>
        <v/>
      </c>
      <c r="B95" s="26" t="str">
        <f>IF('Plan de Tareas'!$C94="","",'Plan de Tareas'!$C94)</f>
        <v/>
      </c>
      <c r="C95" s="26" t="str">
        <f>IF('Plan de Tareas'!$C94="","",'Plan de Tareas'!$D94)</f>
        <v/>
      </c>
      <c r="D95" s="38" t="str">
        <f>IF('Plan de Tareas'!$F94="","",'Plan de Tareas'!$F94)</f>
        <v/>
      </c>
      <c r="E95" s="38" t="str">
        <f>IF('Plan de Tareas'!$G94="","",'Plan de Tareas'!$G94)</f>
        <v/>
      </c>
      <c r="F95" s="36" t="str">
        <f>IF(OR($D95="",$E95=""),"",IF(AND($D95&lt;=F$7+6,$E95&gt;=F$7),IF('Plan de Tareas'!$J94="Completada",2,1),""))</f>
        <v/>
      </c>
      <c r="G95" s="36" t="str">
        <f>IF(OR($D95="",$E95=""),"",IF(AND($D95&lt;=G$7+6,$E95&gt;=G$7),IF('Plan de Tareas'!$J94="Completada",2,1),""))</f>
        <v/>
      </c>
      <c r="H95" s="36" t="str">
        <f>IF(OR($D95="",$E95=""),"",IF(AND($D95&lt;=H$7+6,$E95&gt;=H$7),IF('Plan de Tareas'!$J94="Completada",2,1),""))</f>
        <v/>
      </c>
      <c r="I95" s="36" t="str">
        <f>IF(OR($D95="",$E95=""),"",IF(AND($D95&lt;=I$7+6,$E95&gt;=I$7),IF('Plan de Tareas'!$J94="Completada",2,1),""))</f>
        <v/>
      </c>
      <c r="J95" s="36" t="str">
        <f>IF(OR($D95="",$E95=""),"",IF(AND($D95&lt;=J$7+6,$E95&gt;=J$7),IF('Plan de Tareas'!$J94="Completada",2,1),""))</f>
        <v/>
      </c>
      <c r="K95" s="36" t="str">
        <f>IF(OR($D95="",$E95=""),"",IF(AND($D95&lt;=K$7+6,$E95&gt;=K$7),IF('Plan de Tareas'!$J94="Completada",2,1),""))</f>
        <v/>
      </c>
      <c r="L95" s="36" t="str">
        <f>IF(OR($D95="",$E95=""),"",IF(AND($D95&lt;=L$7+6,$E95&gt;=L$7),IF('Plan de Tareas'!$J94="Completada",2,1),""))</f>
        <v/>
      </c>
      <c r="M95" s="36" t="str">
        <f>IF(OR($D95="",$E95=""),"",IF(AND($D95&lt;=M$7+6,$E95&gt;=M$7),IF('Plan de Tareas'!$J94="Completada",2,1),""))</f>
        <v/>
      </c>
      <c r="N95" s="36" t="str">
        <f>IF(OR($D95="",$E95=""),"",IF(AND($D95&lt;=N$7+6,$E95&gt;=N$7),IF('Plan de Tareas'!$J94="Completada",2,1),""))</f>
        <v/>
      </c>
      <c r="O95" s="36" t="str">
        <f>IF(OR($D95="",$E95=""),"",IF(AND($D95&lt;=O$7+6,$E95&gt;=O$7),IF('Plan de Tareas'!$J94="Completada",2,1),""))</f>
        <v/>
      </c>
      <c r="P95" s="36" t="str">
        <f>IF(OR($D95="",$E95=""),"",IF(AND($D95&lt;=P$7+6,$E95&gt;=P$7),IF('Plan de Tareas'!$J94="Completada",2,1),""))</f>
        <v/>
      </c>
      <c r="Q95" s="36" t="str">
        <f>IF(OR($D95="",$E95=""),"",IF(AND($D95&lt;=Q$7+6,$E95&gt;=Q$7),IF('Plan de Tareas'!$J94="Completada",2,1),""))</f>
        <v/>
      </c>
      <c r="R95" s="36" t="str">
        <f>IF(OR($D95="",$E95=""),"",IF(AND($D95&lt;=R$7+6,$E95&gt;=R$7),IF('Plan de Tareas'!$J94="Completada",2,1),""))</f>
        <v/>
      </c>
      <c r="S95" s="36" t="str">
        <f>IF(OR($D95="",$E95=""),"",IF(AND($D95&lt;=S$7+6,$E95&gt;=S$7),IF('Plan de Tareas'!$J94="Completada",2,1),""))</f>
        <v/>
      </c>
      <c r="T95" s="36" t="str">
        <f>IF(OR($D95="",$E95=""),"",IF(AND($D95&lt;=T$7+6,$E95&gt;=T$7),IF('Plan de Tareas'!$J94="Completada",2,1),""))</f>
        <v/>
      </c>
      <c r="U95" s="36" t="str">
        <f>IF(OR($D95="",$E95=""),"",IF(AND($D95&lt;=U$7+6,$E95&gt;=U$7),IF('Plan de Tareas'!$J94="Completada",2,1),""))</f>
        <v/>
      </c>
      <c r="V95" s="36" t="str">
        <f>IF(OR($D95="",$E95=""),"",IF(AND($D95&lt;=V$7+6,$E95&gt;=V$7),IF('Plan de Tareas'!$J94="Completada",2,1),""))</f>
        <v/>
      </c>
      <c r="W95" s="36" t="str">
        <f>IF(OR($D95="",$E95=""),"",IF(AND($D95&lt;=W$7+6,$E95&gt;=W$7),IF('Plan de Tareas'!$J94="Completada",2,1),""))</f>
        <v/>
      </c>
      <c r="X95" s="36" t="str">
        <f>IF(OR($D95="",$E95=""),"",IF(AND($D95&lt;=X$7+6,$E95&gt;=X$7),IF('Plan de Tareas'!$J94="Completada",2,1),""))</f>
        <v/>
      </c>
      <c r="Y95" s="36" t="str">
        <f>IF(OR($D95="",$E95=""),"",IF(AND($D95&lt;=Y$7+6,$E95&gt;=Y$7),IF('Plan de Tareas'!$J94="Completada",2,1),""))</f>
        <v/>
      </c>
      <c r="Z95" s="36" t="str">
        <f>IF(OR($D95="",$E95=""),"",IF(AND($D95&lt;=Z$7+6,$E95&gt;=Z$7),IF('Plan de Tareas'!$J94="Completada",2,1),""))</f>
        <v/>
      </c>
      <c r="AA95" s="36" t="str">
        <f>IF(OR($D95="",$E95=""),"",IF(AND($D95&lt;=AA$7+6,$E95&gt;=AA$7),IF('Plan de Tareas'!$J94="Completada",2,1),""))</f>
        <v/>
      </c>
      <c r="AB95" s="36" t="str">
        <f>IF(OR($D95="",$E95=""),"",IF(AND($D95&lt;=AB$7+6,$E95&gt;=AB$7),IF('Plan de Tareas'!$J94="Completada",2,1),""))</f>
        <v/>
      </c>
      <c r="AC95" s="36" t="str">
        <f>IF(OR($D95="",$E95=""),"",IF(AND($D95&lt;=AC$7+6,$E95&gt;=AC$7),IF('Plan de Tareas'!$J94="Completada",2,1),""))</f>
        <v/>
      </c>
      <c r="AD95" s="36" t="str">
        <f>IF(OR($D95="",$E95=""),"",IF(AND($D95&lt;=AD$7+6,$E95&gt;=AD$7),IF('Plan de Tareas'!$J94="Completada",2,1),""))</f>
        <v/>
      </c>
      <c r="AE95" s="36" t="str">
        <f>IF(OR($D95="",$E95=""),"",IF(AND($D95&lt;=AE$7+6,$E95&gt;=AE$7),IF('Plan de Tareas'!$J94="Completada",2,1),""))</f>
        <v/>
      </c>
    </row>
    <row r="96" spans="1:31" ht="15" customHeight="1" x14ac:dyDescent="0.3">
      <c r="A96" s="34" t="str">
        <f>IF('Plan de Tareas'!$C95="","",'Plan de Tareas'!$A95)</f>
        <v/>
      </c>
      <c r="B96" s="20" t="str">
        <f>IF('Plan de Tareas'!$C95="","",'Plan de Tareas'!$C95)</f>
        <v/>
      </c>
      <c r="C96" s="20" t="str">
        <f>IF('Plan de Tareas'!$C95="","",'Plan de Tareas'!$D95)</f>
        <v/>
      </c>
      <c r="D96" s="35" t="str">
        <f>IF('Plan de Tareas'!$F95="","",'Plan de Tareas'!$F95)</f>
        <v/>
      </c>
      <c r="E96" s="35" t="str">
        <f>IF('Plan de Tareas'!$G95="","",'Plan de Tareas'!$G95)</f>
        <v/>
      </c>
      <c r="F96" s="36" t="str">
        <f>IF(OR($D96="",$E96=""),"",IF(AND($D96&lt;=F$7+6,$E96&gt;=F$7),IF('Plan de Tareas'!$J95="Completada",2,1),""))</f>
        <v/>
      </c>
      <c r="G96" s="36" t="str">
        <f>IF(OR($D96="",$E96=""),"",IF(AND($D96&lt;=G$7+6,$E96&gt;=G$7),IF('Plan de Tareas'!$J95="Completada",2,1),""))</f>
        <v/>
      </c>
      <c r="H96" s="36" t="str">
        <f>IF(OR($D96="",$E96=""),"",IF(AND($D96&lt;=H$7+6,$E96&gt;=H$7),IF('Plan de Tareas'!$J95="Completada",2,1),""))</f>
        <v/>
      </c>
      <c r="I96" s="36" t="str">
        <f>IF(OR($D96="",$E96=""),"",IF(AND($D96&lt;=I$7+6,$E96&gt;=I$7),IF('Plan de Tareas'!$J95="Completada",2,1),""))</f>
        <v/>
      </c>
      <c r="J96" s="36" t="str">
        <f>IF(OR($D96="",$E96=""),"",IF(AND($D96&lt;=J$7+6,$E96&gt;=J$7),IF('Plan de Tareas'!$J95="Completada",2,1),""))</f>
        <v/>
      </c>
      <c r="K96" s="36" t="str">
        <f>IF(OR($D96="",$E96=""),"",IF(AND($D96&lt;=K$7+6,$E96&gt;=K$7),IF('Plan de Tareas'!$J95="Completada",2,1),""))</f>
        <v/>
      </c>
      <c r="L96" s="36" t="str">
        <f>IF(OR($D96="",$E96=""),"",IF(AND($D96&lt;=L$7+6,$E96&gt;=L$7),IF('Plan de Tareas'!$J95="Completada",2,1),""))</f>
        <v/>
      </c>
      <c r="M96" s="36" t="str">
        <f>IF(OR($D96="",$E96=""),"",IF(AND($D96&lt;=M$7+6,$E96&gt;=M$7),IF('Plan de Tareas'!$J95="Completada",2,1),""))</f>
        <v/>
      </c>
      <c r="N96" s="36" t="str">
        <f>IF(OR($D96="",$E96=""),"",IF(AND($D96&lt;=N$7+6,$E96&gt;=N$7),IF('Plan de Tareas'!$J95="Completada",2,1),""))</f>
        <v/>
      </c>
      <c r="O96" s="36" t="str">
        <f>IF(OR($D96="",$E96=""),"",IF(AND($D96&lt;=O$7+6,$E96&gt;=O$7),IF('Plan de Tareas'!$J95="Completada",2,1),""))</f>
        <v/>
      </c>
      <c r="P96" s="36" t="str">
        <f>IF(OR($D96="",$E96=""),"",IF(AND($D96&lt;=P$7+6,$E96&gt;=P$7),IF('Plan de Tareas'!$J95="Completada",2,1),""))</f>
        <v/>
      </c>
      <c r="Q96" s="36" t="str">
        <f>IF(OR($D96="",$E96=""),"",IF(AND($D96&lt;=Q$7+6,$E96&gt;=Q$7),IF('Plan de Tareas'!$J95="Completada",2,1),""))</f>
        <v/>
      </c>
      <c r="R96" s="36" t="str">
        <f>IF(OR($D96="",$E96=""),"",IF(AND($D96&lt;=R$7+6,$E96&gt;=R$7),IF('Plan de Tareas'!$J95="Completada",2,1),""))</f>
        <v/>
      </c>
      <c r="S96" s="36" t="str">
        <f>IF(OR($D96="",$E96=""),"",IF(AND($D96&lt;=S$7+6,$E96&gt;=S$7),IF('Plan de Tareas'!$J95="Completada",2,1),""))</f>
        <v/>
      </c>
      <c r="T96" s="36" t="str">
        <f>IF(OR($D96="",$E96=""),"",IF(AND($D96&lt;=T$7+6,$E96&gt;=T$7),IF('Plan de Tareas'!$J95="Completada",2,1),""))</f>
        <v/>
      </c>
      <c r="U96" s="36" t="str">
        <f>IF(OR($D96="",$E96=""),"",IF(AND($D96&lt;=U$7+6,$E96&gt;=U$7),IF('Plan de Tareas'!$J95="Completada",2,1),""))</f>
        <v/>
      </c>
      <c r="V96" s="36" t="str">
        <f>IF(OR($D96="",$E96=""),"",IF(AND($D96&lt;=V$7+6,$E96&gt;=V$7),IF('Plan de Tareas'!$J95="Completada",2,1),""))</f>
        <v/>
      </c>
      <c r="W96" s="36" t="str">
        <f>IF(OR($D96="",$E96=""),"",IF(AND($D96&lt;=W$7+6,$E96&gt;=W$7),IF('Plan de Tareas'!$J95="Completada",2,1),""))</f>
        <v/>
      </c>
      <c r="X96" s="36" t="str">
        <f>IF(OR($D96="",$E96=""),"",IF(AND($D96&lt;=X$7+6,$E96&gt;=X$7),IF('Plan de Tareas'!$J95="Completada",2,1),""))</f>
        <v/>
      </c>
      <c r="Y96" s="36" t="str">
        <f>IF(OR($D96="",$E96=""),"",IF(AND($D96&lt;=Y$7+6,$E96&gt;=Y$7),IF('Plan de Tareas'!$J95="Completada",2,1),""))</f>
        <v/>
      </c>
      <c r="Z96" s="36" t="str">
        <f>IF(OR($D96="",$E96=""),"",IF(AND($D96&lt;=Z$7+6,$E96&gt;=Z$7),IF('Plan de Tareas'!$J95="Completada",2,1),""))</f>
        <v/>
      </c>
      <c r="AA96" s="36" t="str">
        <f>IF(OR($D96="",$E96=""),"",IF(AND($D96&lt;=AA$7+6,$E96&gt;=AA$7),IF('Plan de Tareas'!$J95="Completada",2,1),""))</f>
        <v/>
      </c>
      <c r="AB96" s="36" t="str">
        <f>IF(OR($D96="",$E96=""),"",IF(AND($D96&lt;=AB$7+6,$E96&gt;=AB$7),IF('Plan de Tareas'!$J95="Completada",2,1),""))</f>
        <v/>
      </c>
      <c r="AC96" s="36" t="str">
        <f>IF(OR($D96="",$E96=""),"",IF(AND($D96&lt;=AC$7+6,$E96&gt;=AC$7),IF('Plan de Tareas'!$J95="Completada",2,1),""))</f>
        <v/>
      </c>
      <c r="AD96" s="36" t="str">
        <f>IF(OR($D96="",$E96=""),"",IF(AND($D96&lt;=AD$7+6,$E96&gt;=AD$7),IF('Plan de Tareas'!$J95="Completada",2,1),""))</f>
        <v/>
      </c>
      <c r="AE96" s="36" t="str">
        <f>IF(OR($D96="",$E96=""),"",IF(AND($D96&lt;=AE$7+6,$E96&gt;=AE$7),IF('Plan de Tareas'!$J95="Completada",2,1),""))</f>
        <v/>
      </c>
    </row>
    <row r="97" spans="1:31" ht="15" customHeight="1" x14ac:dyDescent="0.3">
      <c r="A97" s="37" t="str">
        <f>IF('Plan de Tareas'!$C96="","",'Plan de Tareas'!$A96)</f>
        <v/>
      </c>
      <c r="B97" s="26" t="str">
        <f>IF('Plan de Tareas'!$C96="","",'Plan de Tareas'!$C96)</f>
        <v/>
      </c>
      <c r="C97" s="26" t="str">
        <f>IF('Plan de Tareas'!$C96="","",'Plan de Tareas'!$D96)</f>
        <v/>
      </c>
      <c r="D97" s="38" t="str">
        <f>IF('Plan de Tareas'!$F96="","",'Plan de Tareas'!$F96)</f>
        <v/>
      </c>
      <c r="E97" s="38" t="str">
        <f>IF('Plan de Tareas'!$G96="","",'Plan de Tareas'!$G96)</f>
        <v/>
      </c>
      <c r="F97" s="36" t="str">
        <f>IF(OR($D97="",$E97=""),"",IF(AND($D97&lt;=F$7+6,$E97&gt;=F$7),IF('Plan de Tareas'!$J96="Completada",2,1),""))</f>
        <v/>
      </c>
      <c r="G97" s="36" t="str">
        <f>IF(OR($D97="",$E97=""),"",IF(AND($D97&lt;=G$7+6,$E97&gt;=G$7),IF('Plan de Tareas'!$J96="Completada",2,1),""))</f>
        <v/>
      </c>
      <c r="H97" s="36" t="str">
        <f>IF(OR($D97="",$E97=""),"",IF(AND($D97&lt;=H$7+6,$E97&gt;=H$7),IF('Plan de Tareas'!$J96="Completada",2,1),""))</f>
        <v/>
      </c>
      <c r="I97" s="36" t="str">
        <f>IF(OR($D97="",$E97=""),"",IF(AND($D97&lt;=I$7+6,$E97&gt;=I$7),IF('Plan de Tareas'!$J96="Completada",2,1),""))</f>
        <v/>
      </c>
      <c r="J97" s="36" t="str">
        <f>IF(OR($D97="",$E97=""),"",IF(AND($D97&lt;=J$7+6,$E97&gt;=J$7),IF('Plan de Tareas'!$J96="Completada",2,1),""))</f>
        <v/>
      </c>
      <c r="K97" s="36" t="str">
        <f>IF(OR($D97="",$E97=""),"",IF(AND($D97&lt;=K$7+6,$E97&gt;=K$7),IF('Plan de Tareas'!$J96="Completada",2,1),""))</f>
        <v/>
      </c>
      <c r="L97" s="36" t="str">
        <f>IF(OR($D97="",$E97=""),"",IF(AND($D97&lt;=L$7+6,$E97&gt;=L$7),IF('Plan de Tareas'!$J96="Completada",2,1),""))</f>
        <v/>
      </c>
      <c r="M97" s="36" t="str">
        <f>IF(OR($D97="",$E97=""),"",IF(AND($D97&lt;=M$7+6,$E97&gt;=M$7),IF('Plan de Tareas'!$J96="Completada",2,1),""))</f>
        <v/>
      </c>
      <c r="N97" s="36" t="str">
        <f>IF(OR($D97="",$E97=""),"",IF(AND($D97&lt;=N$7+6,$E97&gt;=N$7),IF('Plan de Tareas'!$J96="Completada",2,1),""))</f>
        <v/>
      </c>
      <c r="O97" s="36" t="str">
        <f>IF(OR($D97="",$E97=""),"",IF(AND($D97&lt;=O$7+6,$E97&gt;=O$7),IF('Plan de Tareas'!$J96="Completada",2,1),""))</f>
        <v/>
      </c>
      <c r="P97" s="36" t="str">
        <f>IF(OR($D97="",$E97=""),"",IF(AND($D97&lt;=P$7+6,$E97&gt;=P$7),IF('Plan de Tareas'!$J96="Completada",2,1),""))</f>
        <v/>
      </c>
      <c r="Q97" s="36" t="str">
        <f>IF(OR($D97="",$E97=""),"",IF(AND($D97&lt;=Q$7+6,$E97&gt;=Q$7),IF('Plan de Tareas'!$J96="Completada",2,1),""))</f>
        <v/>
      </c>
      <c r="R97" s="36" t="str">
        <f>IF(OR($D97="",$E97=""),"",IF(AND($D97&lt;=R$7+6,$E97&gt;=R$7),IF('Plan de Tareas'!$J96="Completada",2,1),""))</f>
        <v/>
      </c>
      <c r="S97" s="36" t="str">
        <f>IF(OR($D97="",$E97=""),"",IF(AND($D97&lt;=S$7+6,$E97&gt;=S$7),IF('Plan de Tareas'!$J96="Completada",2,1),""))</f>
        <v/>
      </c>
      <c r="T97" s="36" t="str">
        <f>IF(OR($D97="",$E97=""),"",IF(AND($D97&lt;=T$7+6,$E97&gt;=T$7),IF('Plan de Tareas'!$J96="Completada",2,1),""))</f>
        <v/>
      </c>
      <c r="U97" s="36" t="str">
        <f>IF(OR($D97="",$E97=""),"",IF(AND($D97&lt;=U$7+6,$E97&gt;=U$7),IF('Plan de Tareas'!$J96="Completada",2,1),""))</f>
        <v/>
      </c>
      <c r="V97" s="36" t="str">
        <f>IF(OR($D97="",$E97=""),"",IF(AND($D97&lt;=V$7+6,$E97&gt;=V$7),IF('Plan de Tareas'!$J96="Completada",2,1),""))</f>
        <v/>
      </c>
      <c r="W97" s="36" t="str">
        <f>IF(OR($D97="",$E97=""),"",IF(AND($D97&lt;=W$7+6,$E97&gt;=W$7),IF('Plan de Tareas'!$J96="Completada",2,1),""))</f>
        <v/>
      </c>
      <c r="X97" s="36" t="str">
        <f>IF(OR($D97="",$E97=""),"",IF(AND($D97&lt;=X$7+6,$E97&gt;=X$7),IF('Plan de Tareas'!$J96="Completada",2,1),""))</f>
        <v/>
      </c>
      <c r="Y97" s="36" t="str">
        <f>IF(OR($D97="",$E97=""),"",IF(AND($D97&lt;=Y$7+6,$E97&gt;=Y$7),IF('Plan de Tareas'!$J96="Completada",2,1),""))</f>
        <v/>
      </c>
      <c r="Z97" s="36" t="str">
        <f>IF(OR($D97="",$E97=""),"",IF(AND($D97&lt;=Z$7+6,$E97&gt;=Z$7),IF('Plan de Tareas'!$J96="Completada",2,1),""))</f>
        <v/>
      </c>
      <c r="AA97" s="36" t="str">
        <f>IF(OR($D97="",$E97=""),"",IF(AND($D97&lt;=AA$7+6,$E97&gt;=AA$7),IF('Plan de Tareas'!$J96="Completada",2,1),""))</f>
        <v/>
      </c>
      <c r="AB97" s="36" t="str">
        <f>IF(OR($D97="",$E97=""),"",IF(AND($D97&lt;=AB$7+6,$E97&gt;=AB$7),IF('Plan de Tareas'!$J96="Completada",2,1),""))</f>
        <v/>
      </c>
      <c r="AC97" s="36" t="str">
        <f>IF(OR($D97="",$E97=""),"",IF(AND($D97&lt;=AC$7+6,$E97&gt;=AC$7),IF('Plan de Tareas'!$J96="Completada",2,1),""))</f>
        <v/>
      </c>
      <c r="AD97" s="36" t="str">
        <f>IF(OR($D97="",$E97=""),"",IF(AND($D97&lt;=AD$7+6,$E97&gt;=AD$7),IF('Plan de Tareas'!$J96="Completada",2,1),""))</f>
        <v/>
      </c>
      <c r="AE97" s="36" t="str">
        <f>IF(OR($D97="",$E97=""),"",IF(AND($D97&lt;=AE$7+6,$E97&gt;=AE$7),IF('Plan de Tareas'!$J96="Completada",2,1),""))</f>
        <v/>
      </c>
    </row>
    <row r="98" spans="1:31" ht="15" customHeight="1" x14ac:dyDescent="0.3">
      <c r="A98" s="34" t="str">
        <f>IF('Plan de Tareas'!$C97="","",'Plan de Tareas'!$A97)</f>
        <v/>
      </c>
      <c r="B98" s="20" t="str">
        <f>IF('Plan de Tareas'!$C97="","",'Plan de Tareas'!$C97)</f>
        <v/>
      </c>
      <c r="C98" s="20" t="str">
        <f>IF('Plan de Tareas'!$C97="","",'Plan de Tareas'!$D97)</f>
        <v/>
      </c>
      <c r="D98" s="35" t="str">
        <f>IF('Plan de Tareas'!$F97="","",'Plan de Tareas'!$F97)</f>
        <v/>
      </c>
      <c r="E98" s="35" t="str">
        <f>IF('Plan de Tareas'!$G97="","",'Plan de Tareas'!$G97)</f>
        <v/>
      </c>
      <c r="F98" s="36" t="str">
        <f>IF(OR($D98="",$E98=""),"",IF(AND($D98&lt;=F$7+6,$E98&gt;=F$7),IF('Plan de Tareas'!$J97="Completada",2,1),""))</f>
        <v/>
      </c>
      <c r="G98" s="36" t="str">
        <f>IF(OR($D98="",$E98=""),"",IF(AND($D98&lt;=G$7+6,$E98&gt;=G$7),IF('Plan de Tareas'!$J97="Completada",2,1),""))</f>
        <v/>
      </c>
      <c r="H98" s="36" t="str">
        <f>IF(OR($D98="",$E98=""),"",IF(AND($D98&lt;=H$7+6,$E98&gt;=H$7),IF('Plan de Tareas'!$J97="Completada",2,1),""))</f>
        <v/>
      </c>
      <c r="I98" s="36" t="str">
        <f>IF(OR($D98="",$E98=""),"",IF(AND($D98&lt;=I$7+6,$E98&gt;=I$7),IF('Plan de Tareas'!$J97="Completada",2,1),""))</f>
        <v/>
      </c>
      <c r="J98" s="36" t="str">
        <f>IF(OR($D98="",$E98=""),"",IF(AND($D98&lt;=J$7+6,$E98&gt;=J$7),IF('Plan de Tareas'!$J97="Completada",2,1),""))</f>
        <v/>
      </c>
      <c r="K98" s="36" t="str">
        <f>IF(OR($D98="",$E98=""),"",IF(AND($D98&lt;=K$7+6,$E98&gt;=K$7),IF('Plan de Tareas'!$J97="Completada",2,1),""))</f>
        <v/>
      </c>
      <c r="L98" s="36" t="str">
        <f>IF(OR($D98="",$E98=""),"",IF(AND($D98&lt;=L$7+6,$E98&gt;=L$7),IF('Plan de Tareas'!$J97="Completada",2,1),""))</f>
        <v/>
      </c>
      <c r="M98" s="36" t="str">
        <f>IF(OR($D98="",$E98=""),"",IF(AND($D98&lt;=M$7+6,$E98&gt;=M$7),IF('Plan de Tareas'!$J97="Completada",2,1),""))</f>
        <v/>
      </c>
      <c r="N98" s="36" t="str">
        <f>IF(OR($D98="",$E98=""),"",IF(AND($D98&lt;=N$7+6,$E98&gt;=N$7),IF('Plan de Tareas'!$J97="Completada",2,1),""))</f>
        <v/>
      </c>
      <c r="O98" s="36" t="str">
        <f>IF(OR($D98="",$E98=""),"",IF(AND($D98&lt;=O$7+6,$E98&gt;=O$7),IF('Plan de Tareas'!$J97="Completada",2,1),""))</f>
        <v/>
      </c>
      <c r="P98" s="36" t="str">
        <f>IF(OR($D98="",$E98=""),"",IF(AND($D98&lt;=P$7+6,$E98&gt;=P$7),IF('Plan de Tareas'!$J97="Completada",2,1),""))</f>
        <v/>
      </c>
      <c r="Q98" s="36" t="str">
        <f>IF(OR($D98="",$E98=""),"",IF(AND($D98&lt;=Q$7+6,$E98&gt;=Q$7),IF('Plan de Tareas'!$J97="Completada",2,1),""))</f>
        <v/>
      </c>
      <c r="R98" s="36" t="str">
        <f>IF(OR($D98="",$E98=""),"",IF(AND($D98&lt;=R$7+6,$E98&gt;=R$7),IF('Plan de Tareas'!$J97="Completada",2,1),""))</f>
        <v/>
      </c>
      <c r="S98" s="36" t="str">
        <f>IF(OR($D98="",$E98=""),"",IF(AND($D98&lt;=S$7+6,$E98&gt;=S$7),IF('Plan de Tareas'!$J97="Completada",2,1),""))</f>
        <v/>
      </c>
      <c r="T98" s="36" t="str">
        <f>IF(OR($D98="",$E98=""),"",IF(AND($D98&lt;=T$7+6,$E98&gt;=T$7),IF('Plan de Tareas'!$J97="Completada",2,1),""))</f>
        <v/>
      </c>
      <c r="U98" s="36" t="str">
        <f>IF(OR($D98="",$E98=""),"",IF(AND($D98&lt;=U$7+6,$E98&gt;=U$7),IF('Plan de Tareas'!$J97="Completada",2,1),""))</f>
        <v/>
      </c>
      <c r="V98" s="36" t="str">
        <f>IF(OR($D98="",$E98=""),"",IF(AND($D98&lt;=V$7+6,$E98&gt;=V$7),IF('Plan de Tareas'!$J97="Completada",2,1),""))</f>
        <v/>
      </c>
      <c r="W98" s="36" t="str">
        <f>IF(OR($D98="",$E98=""),"",IF(AND($D98&lt;=W$7+6,$E98&gt;=W$7),IF('Plan de Tareas'!$J97="Completada",2,1),""))</f>
        <v/>
      </c>
      <c r="X98" s="36" t="str">
        <f>IF(OR($D98="",$E98=""),"",IF(AND($D98&lt;=X$7+6,$E98&gt;=X$7),IF('Plan de Tareas'!$J97="Completada",2,1),""))</f>
        <v/>
      </c>
      <c r="Y98" s="36" t="str">
        <f>IF(OR($D98="",$E98=""),"",IF(AND($D98&lt;=Y$7+6,$E98&gt;=Y$7),IF('Plan de Tareas'!$J97="Completada",2,1),""))</f>
        <v/>
      </c>
      <c r="Z98" s="36" t="str">
        <f>IF(OR($D98="",$E98=""),"",IF(AND($D98&lt;=Z$7+6,$E98&gt;=Z$7),IF('Plan de Tareas'!$J97="Completada",2,1),""))</f>
        <v/>
      </c>
      <c r="AA98" s="36" t="str">
        <f>IF(OR($D98="",$E98=""),"",IF(AND($D98&lt;=AA$7+6,$E98&gt;=AA$7),IF('Plan de Tareas'!$J97="Completada",2,1),""))</f>
        <v/>
      </c>
      <c r="AB98" s="36" t="str">
        <f>IF(OR($D98="",$E98=""),"",IF(AND($D98&lt;=AB$7+6,$E98&gt;=AB$7),IF('Plan de Tareas'!$J97="Completada",2,1),""))</f>
        <v/>
      </c>
      <c r="AC98" s="36" t="str">
        <f>IF(OR($D98="",$E98=""),"",IF(AND($D98&lt;=AC$7+6,$E98&gt;=AC$7),IF('Plan de Tareas'!$J97="Completada",2,1),""))</f>
        <v/>
      </c>
      <c r="AD98" s="36" t="str">
        <f>IF(OR($D98="",$E98=""),"",IF(AND($D98&lt;=AD$7+6,$E98&gt;=AD$7),IF('Plan de Tareas'!$J97="Completada",2,1),""))</f>
        <v/>
      </c>
      <c r="AE98" s="36" t="str">
        <f>IF(OR($D98="",$E98=""),"",IF(AND($D98&lt;=AE$7+6,$E98&gt;=AE$7),IF('Plan de Tareas'!$J97="Completada",2,1),""))</f>
        <v/>
      </c>
    </row>
    <row r="99" spans="1:31" ht="15" customHeight="1" x14ac:dyDescent="0.3">
      <c r="A99" s="37" t="str">
        <f>IF('Plan de Tareas'!$C98="","",'Plan de Tareas'!$A98)</f>
        <v/>
      </c>
      <c r="B99" s="26" t="str">
        <f>IF('Plan de Tareas'!$C98="","",'Plan de Tareas'!$C98)</f>
        <v/>
      </c>
      <c r="C99" s="26" t="str">
        <f>IF('Plan de Tareas'!$C98="","",'Plan de Tareas'!$D98)</f>
        <v/>
      </c>
      <c r="D99" s="38" t="str">
        <f>IF('Plan de Tareas'!$F98="","",'Plan de Tareas'!$F98)</f>
        <v/>
      </c>
      <c r="E99" s="38" t="str">
        <f>IF('Plan de Tareas'!$G98="","",'Plan de Tareas'!$G98)</f>
        <v/>
      </c>
      <c r="F99" s="36" t="str">
        <f>IF(OR($D99="",$E99=""),"",IF(AND($D99&lt;=F$7+6,$E99&gt;=F$7),IF('Plan de Tareas'!$J98="Completada",2,1),""))</f>
        <v/>
      </c>
      <c r="G99" s="36" t="str">
        <f>IF(OR($D99="",$E99=""),"",IF(AND($D99&lt;=G$7+6,$E99&gt;=G$7),IF('Plan de Tareas'!$J98="Completada",2,1),""))</f>
        <v/>
      </c>
      <c r="H99" s="36" t="str">
        <f>IF(OR($D99="",$E99=""),"",IF(AND($D99&lt;=H$7+6,$E99&gt;=H$7),IF('Plan de Tareas'!$J98="Completada",2,1),""))</f>
        <v/>
      </c>
      <c r="I99" s="36" t="str">
        <f>IF(OR($D99="",$E99=""),"",IF(AND($D99&lt;=I$7+6,$E99&gt;=I$7),IF('Plan de Tareas'!$J98="Completada",2,1),""))</f>
        <v/>
      </c>
      <c r="J99" s="36" t="str">
        <f>IF(OR($D99="",$E99=""),"",IF(AND($D99&lt;=J$7+6,$E99&gt;=J$7),IF('Plan de Tareas'!$J98="Completada",2,1),""))</f>
        <v/>
      </c>
      <c r="K99" s="36" t="str">
        <f>IF(OR($D99="",$E99=""),"",IF(AND($D99&lt;=K$7+6,$E99&gt;=K$7),IF('Plan de Tareas'!$J98="Completada",2,1),""))</f>
        <v/>
      </c>
      <c r="L99" s="36" t="str">
        <f>IF(OR($D99="",$E99=""),"",IF(AND($D99&lt;=L$7+6,$E99&gt;=L$7),IF('Plan de Tareas'!$J98="Completada",2,1),""))</f>
        <v/>
      </c>
      <c r="M99" s="36" t="str">
        <f>IF(OR($D99="",$E99=""),"",IF(AND($D99&lt;=M$7+6,$E99&gt;=M$7),IF('Plan de Tareas'!$J98="Completada",2,1),""))</f>
        <v/>
      </c>
      <c r="N99" s="36" t="str">
        <f>IF(OR($D99="",$E99=""),"",IF(AND($D99&lt;=N$7+6,$E99&gt;=N$7),IF('Plan de Tareas'!$J98="Completada",2,1),""))</f>
        <v/>
      </c>
      <c r="O99" s="36" t="str">
        <f>IF(OR($D99="",$E99=""),"",IF(AND($D99&lt;=O$7+6,$E99&gt;=O$7),IF('Plan de Tareas'!$J98="Completada",2,1),""))</f>
        <v/>
      </c>
      <c r="P99" s="36" t="str">
        <f>IF(OR($D99="",$E99=""),"",IF(AND($D99&lt;=P$7+6,$E99&gt;=P$7),IF('Plan de Tareas'!$J98="Completada",2,1),""))</f>
        <v/>
      </c>
      <c r="Q99" s="36" t="str">
        <f>IF(OR($D99="",$E99=""),"",IF(AND($D99&lt;=Q$7+6,$E99&gt;=Q$7),IF('Plan de Tareas'!$J98="Completada",2,1),""))</f>
        <v/>
      </c>
      <c r="R99" s="36" t="str">
        <f>IF(OR($D99="",$E99=""),"",IF(AND($D99&lt;=R$7+6,$E99&gt;=R$7),IF('Plan de Tareas'!$J98="Completada",2,1),""))</f>
        <v/>
      </c>
      <c r="S99" s="36" t="str">
        <f>IF(OR($D99="",$E99=""),"",IF(AND($D99&lt;=S$7+6,$E99&gt;=S$7),IF('Plan de Tareas'!$J98="Completada",2,1),""))</f>
        <v/>
      </c>
      <c r="T99" s="36" t="str">
        <f>IF(OR($D99="",$E99=""),"",IF(AND($D99&lt;=T$7+6,$E99&gt;=T$7),IF('Plan de Tareas'!$J98="Completada",2,1),""))</f>
        <v/>
      </c>
      <c r="U99" s="36" t="str">
        <f>IF(OR($D99="",$E99=""),"",IF(AND($D99&lt;=U$7+6,$E99&gt;=U$7),IF('Plan de Tareas'!$J98="Completada",2,1),""))</f>
        <v/>
      </c>
      <c r="V99" s="36" t="str">
        <f>IF(OR($D99="",$E99=""),"",IF(AND($D99&lt;=V$7+6,$E99&gt;=V$7),IF('Plan de Tareas'!$J98="Completada",2,1),""))</f>
        <v/>
      </c>
      <c r="W99" s="36" t="str">
        <f>IF(OR($D99="",$E99=""),"",IF(AND($D99&lt;=W$7+6,$E99&gt;=W$7),IF('Plan de Tareas'!$J98="Completada",2,1),""))</f>
        <v/>
      </c>
      <c r="X99" s="36" t="str">
        <f>IF(OR($D99="",$E99=""),"",IF(AND($D99&lt;=X$7+6,$E99&gt;=X$7),IF('Plan de Tareas'!$J98="Completada",2,1),""))</f>
        <v/>
      </c>
      <c r="Y99" s="36" t="str">
        <f>IF(OR($D99="",$E99=""),"",IF(AND($D99&lt;=Y$7+6,$E99&gt;=Y$7),IF('Plan de Tareas'!$J98="Completada",2,1),""))</f>
        <v/>
      </c>
      <c r="Z99" s="36" t="str">
        <f>IF(OR($D99="",$E99=""),"",IF(AND($D99&lt;=Z$7+6,$E99&gt;=Z$7),IF('Plan de Tareas'!$J98="Completada",2,1),""))</f>
        <v/>
      </c>
      <c r="AA99" s="36" t="str">
        <f>IF(OR($D99="",$E99=""),"",IF(AND($D99&lt;=AA$7+6,$E99&gt;=AA$7),IF('Plan de Tareas'!$J98="Completada",2,1),""))</f>
        <v/>
      </c>
      <c r="AB99" s="36" t="str">
        <f>IF(OR($D99="",$E99=""),"",IF(AND($D99&lt;=AB$7+6,$E99&gt;=AB$7),IF('Plan de Tareas'!$J98="Completada",2,1),""))</f>
        <v/>
      </c>
      <c r="AC99" s="36" t="str">
        <f>IF(OR($D99="",$E99=""),"",IF(AND($D99&lt;=AC$7+6,$E99&gt;=AC$7),IF('Plan de Tareas'!$J98="Completada",2,1),""))</f>
        <v/>
      </c>
      <c r="AD99" s="36" t="str">
        <f>IF(OR($D99="",$E99=""),"",IF(AND($D99&lt;=AD$7+6,$E99&gt;=AD$7),IF('Plan de Tareas'!$J98="Completada",2,1),""))</f>
        <v/>
      </c>
      <c r="AE99" s="36" t="str">
        <f>IF(OR($D99="",$E99=""),"",IF(AND($D99&lt;=AE$7+6,$E99&gt;=AE$7),IF('Plan de Tareas'!$J98="Completada",2,1),""))</f>
        <v/>
      </c>
    </row>
    <row r="100" spans="1:31" ht="15" customHeight="1" x14ac:dyDescent="0.3">
      <c r="A100" s="34" t="str">
        <f>IF('Plan de Tareas'!$C99="","",'Plan de Tareas'!$A99)</f>
        <v/>
      </c>
      <c r="B100" s="20" t="str">
        <f>IF('Plan de Tareas'!$C99="","",'Plan de Tareas'!$C99)</f>
        <v/>
      </c>
      <c r="C100" s="20" t="str">
        <f>IF('Plan de Tareas'!$C99="","",'Plan de Tareas'!$D99)</f>
        <v/>
      </c>
      <c r="D100" s="35" t="str">
        <f>IF('Plan de Tareas'!$F99="","",'Plan de Tareas'!$F99)</f>
        <v/>
      </c>
      <c r="E100" s="35" t="str">
        <f>IF('Plan de Tareas'!$G99="","",'Plan de Tareas'!$G99)</f>
        <v/>
      </c>
      <c r="F100" s="36" t="str">
        <f>IF(OR($D100="",$E100=""),"",IF(AND($D100&lt;=F$7+6,$E100&gt;=F$7),IF('Plan de Tareas'!$J99="Completada",2,1),""))</f>
        <v/>
      </c>
      <c r="G100" s="36" t="str">
        <f>IF(OR($D100="",$E100=""),"",IF(AND($D100&lt;=G$7+6,$E100&gt;=G$7),IF('Plan de Tareas'!$J99="Completada",2,1),""))</f>
        <v/>
      </c>
      <c r="H100" s="36" t="str">
        <f>IF(OR($D100="",$E100=""),"",IF(AND($D100&lt;=H$7+6,$E100&gt;=H$7),IF('Plan de Tareas'!$J99="Completada",2,1),""))</f>
        <v/>
      </c>
      <c r="I100" s="36" t="str">
        <f>IF(OR($D100="",$E100=""),"",IF(AND($D100&lt;=I$7+6,$E100&gt;=I$7),IF('Plan de Tareas'!$J99="Completada",2,1),""))</f>
        <v/>
      </c>
      <c r="J100" s="36" t="str">
        <f>IF(OR($D100="",$E100=""),"",IF(AND($D100&lt;=J$7+6,$E100&gt;=J$7),IF('Plan de Tareas'!$J99="Completada",2,1),""))</f>
        <v/>
      </c>
      <c r="K100" s="36" t="str">
        <f>IF(OR($D100="",$E100=""),"",IF(AND($D100&lt;=K$7+6,$E100&gt;=K$7),IF('Plan de Tareas'!$J99="Completada",2,1),""))</f>
        <v/>
      </c>
      <c r="L100" s="36" t="str">
        <f>IF(OR($D100="",$E100=""),"",IF(AND($D100&lt;=L$7+6,$E100&gt;=L$7),IF('Plan de Tareas'!$J99="Completada",2,1),""))</f>
        <v/>
      </c>
      <c r="M100" s="36" t="str">
        <f>IF(OR($D100="",$E100=""),"",IF(AND($D100&lt;=M$7+6,$E100&gt;=M$7),IF('Plan de Tareas'!$J99="Completada",2,1),""))</f>
        <v/>
      </c>
      <c r="N100" s="36" t="str">
        <f>IF(OR($D100="",$E100=""),"",IF(AND($D100&lt;=N$7+6,$E100&gt;=N$7),IF('Plan de Tareas'!$J99="Completada",2,1),""))</f>
        <v/>
      </c>
      <c r="O100" s="36" t="str">
        <f>IF(OR($D100="",$E100=""),"",IF(AND($D100&lt;=O$7+6,$E100&gt;=O$7),IF('Plan de Tareas'!$J99="Completada",2,1),""))</f>
        <v/>
      </c>
      <c r="P100" s="36" t="str">
        <f>IF(OR($D100="",$E100=""),"",IF(AND($D100&lt;=P$7+6,$E100&gt;=P$7),IF('Plan de Tareas'!$J99="Completada",2,1),""))</f>
        <v/>
      </c>
      <c r="Q100" s="36" t="str">
        <f>IF(OR($D100="",$E100=""),"",IF(AND($D100&lt;=Q$7+6,$E100&gt;=Q$7),IF('Plan de Tareas'!$J99="Completada",2,1),""))</f>
        <v/>
      </c>
      <c r="R100" s="36" t="str">
        <f>IF(OR($D100="",$E100=""),"",IF(AND($D100&lt;=R$7+6,$E100&gt;=R$7),IF('Plan de Tareas'!$J99="Completada",2,1),""))</f>
        <v/>
      </c>
      <c r="S100" s="36" t="str">
        <f>IF(OR($D100="",$E100=""),"",IF(AND($D100&lt;=S$7+6,$E100&gt;=S$7),IF('Plan de Tareas'!$J99="Completada",2,1),""))</f>
        <v/>
      </c>
      <c r="T100" s="36" t="str">
        <f>IF(OR($D100="",$E100=""),"",IF(AND($D100&lt;=T$7+6,$E100&gt;=T$7),IF('Plan de Tareas'!$J99="Completada",2,1),""))</f>
        <v/>
      </c>
      <c r="U100" s="36" t="str">
        <f>IF(OR($D100="",$E100=""),"",IF(AND($D100&lt;=U$7+6,$E100&gt;=U$7),IF('Plan de Tareas'!$J99="Completada",2,1),""))</f>
        <v/>
      </c>
      <c r="V100" s="36" t="str">
        <f>IF(OR($D100="",$E100=""),"",IF(AND($D100&lt;=V$7+6,$E100&gt;=V$7),IF('Plan de Tareas'!$J99="Completada",2,1),""))</f>
        <v/>
      </c>
      <c r="W100" s="36" t="str">
        <f>IF(OR($D100="",$E100=""),"",IF(AND($D100&lt;=W$7+6,$E100&gt;=W$7),IF('Plan de Tareas'!$J99="Completada",2,1),""))</f>
        <v/>
      </c>
      <c r="X100" s="36" t="str">
        <f>IF(OR($D100="",$E100=""),"",IF(AND($D100&lt;=X$7+6,$E100&gt;=X$7),IF('Plan de Tareas'!$J99="Completada",2,1),""))</f>
        <v/>
      </c>
      <c r="Y100" s="36" t="str">
        <f>IF(OR($D100="",$E100=""),"",IF(AND($D100&lt;=Y$7+6,$E100&gt;=Y$7),IF('Plan de Tareas'!$J99="Completada",2,1),""))</f>
        <v/>
      </c>
      <c r="Z100" s="36" t="str">
        <f>IF(OR($D100="",$E100=""),"",IF(AND($D100&lt;=Z$7+6,$E100&gt;=Z$7),IF('Plan de Tareas'!$J99="Completada",2,1),""))</f>
        <v/>
      </c>
      <c r="AA100" s="36" t="str">
        <f>IF(OR($D100="",$E100=""),"",IF(AND($D100&lt;=AA$7+6,$E100&gt;=AA$7),IF('Plan de Tareas'!$J99="Completada",2,1),""))</f>
        <v/>
      </c>
      <c r="AB100" s="36" t="str">
        <f>IF(OR($D100="",$E100=""),"",IF(AND($D100&lt;=AB$7+6,$E100&gt;=AB$7),IF('Plan de Tareas'!$J99="Completada",2,1),""))</f>
        <v/>
      </c>
      <c r="AC100" s="36" t="str">
        <f>IF(OR($D100="",$E100=""),"",IF(AND($D100&lt;=AC$7+6,$E100&gt;=AC$7),IF('Plan de Tareas'!$J99="Completada",2,1),""))</f>
        <v/>
      </c>
      <c r="AD100" s="36" t="str">
        <f>IF(OR($D100="",$E100=""),"",IF(AND($D100&lt;=AD$7+6,$E100&gt;=AD$7),IF('Plan de Tareas'!$J99="Completada",2,1),""))</f>
        <v/>
      </c>
      <c r="AE100" s="36" t="str">
        <f>IF(OR($D100="",$E100=""),"",IF(AND($D100&lt;=AE$7+6,$E100&gt;=AE$7),IF('Plan de Tareas'!$J99="Completada",2,1),""))</f>
        <v/>
      </c>
    </row>
    <row r="101" spans="1:31" ht="15" customHeight="1" x14ac:dyDescent="0.3">
      <c r="A101" s="37" t="str">
        <f>IF('Plan de Tareas'!$C100="","",'Plan de Tareas'!$A100)</f>
        <v/>
      </c>
      <c r="B101" s="26" t="str">
        <f>IF('Plan de Tareas'!$C100="","",'Plan de Tareas'!$C100)</f>
        <v/>
      </c>
      <c r="C101" s="26" t="str">
        <f>IF('Plan de Tareas'!$C100="","",'Plan de Tareas'!$D100)</f>
        <v/>
      </c>
      <c r="D101" s="38" t="str">
        <f>IF('Plan de Tareas'!$F100="","",'Plan de Tareas'!$F100)</f>
        <v/>
      </c>
      <c r="E101" s="38" t="str">
        <f>IF('Plan de Tareas'!$G100="","",'Plan de Tareas'!$G100)</f>
        <v/>
      </c>
      <c r="F101" s="36" t="str">
        <f>IF(OR($D101="",$E101=""),"",IF(AND($D101&lt;=F$7+6,$E101&gt;=F$7),IF('Plan de Tareas'!$J100="Completada",2,1),""))</f>
        <v/>
      </c>
      <c r="G101" s="36" t="str">
        <f>IF(OR($D101="",$E101=""),"",IF(AND($D101&lt;=G$7+6,$E101&gt;=G$7),IF('Plan de Tareas'!$J100="Completada",2,1),""))</f>
        <v/>
      </c>
      <c r="H101" s="36" t="str">
        <f>IF(OR($D101="",$E101=""),"",IF(AND($D101&lt;=H$7+6,$E101&gt;=H$7),IF('Plan de Tareas'!$J100="Completada",2,1),""))</f>
        <v/>
      </c>
      <c r="I101" s="36" t="str">
        <f>IF(OR($D101="",$E101=""),"",IF(AND($D101&lt;=I$7+6,$E101&gt;=I$7),IF('Plan de Tareas'!$J100="Completada",2,1),""))</f>
        <v/>
      </c>
      <c r="J101" s="36" t="str">
        <f>IF(OR($D101="",$E101=""),"",IF(AND($D101&lt;=J$7+6,$E101&gt;=J$7),IF('Plan de Tareas'!$J100="Completada",2,1),""))</f>
        <v/>
      </c>
      <c r="K101" s="36" t="str">
        <f>IF(OR($D101="",$E101=""),"",IF(AND($D101&lt;=K$7+6,$E101&gt;=K$7),IF('Plan de Tareas'!$J100="Completada",2,1),""))</f>
        <v/>
      </c>
      <c r="L101" s="36" t="str">
        <f>IF(OR($D101="",$E101=""),"",IF(AND($D101&lt;=L$7+6,$E101&gt;=L$7),IF('Plan de Tareas'!$J100="Completada",2,1),""))</f>
        <v/>
      </c>
      <c r="M101" s="36" t="str">
        <f>IF(OR($D101="",$E101=""),"",IF(AND($D101&lt;=M$7+6,$E101&gt;=M$7),IF('Plan de Tareas'!$J100="Completada",2,1),""))</f>
        <v/>
      </c>
      <c r="N101" s="36" t="str">
        <f>IF(OR($D101="",$E101=""),"",IF(AND($D101&lt;=N$7+6,$E101&gt;=N$7),IF('Plan de Tareas'!$J100="Completada",2,1),""))</f>
        <v/>
      </c>
      <c r="O101" s="36" t="str">
        <f>IF(OR($D101="",$E101=""),"",IF(AND($D101&lt;=O$7+6,$E101&gt;=O$7),IF('Plan de Tareas'!$J100="Completada",2,1),""))</f>
        <v/>
      </c>
      <c r="P101" s="36" t="str">
        <f>IF(OR($D101="",$E101=""),"",IF(AND($D101&lt;=P$7+6,$E101&gt;=P$7),IF('Plan de Tareas'!$J100="Completada",2,1),""))</f>
        <v/>
      </c>
      <c r="Q101" s="36" t="str">
        <f>IF(OR($D101="",$E101=""),"",IF(AND($D101&lt;=Q$7+6,$E101&gt;=Q$7),IF('Plan de Tareas'!$J100="Completada",2,1),""))</f>
        <v/>
      </c>
      <c r="R101" s="36" t="str">
        <f>IF(OR($D101="",$E101=""),"",IF(AND($D101&lt;=R$7+6,$E101&gt;=R$7),IF('Plan de Tareas'!$J100="Completada",2,1),""))</f>
        <v/>
      </c>
      <c r="S101" s="36" t="str">
        <f>IF(OR($D101="",$E101=""),"",IF(AND($D101&lt;=S$7+6,$E101&gt;=S$7),IF('Plan de Tareas'!$J100="Completada",2,1),""))</f>
        <v/>
      </c>
      <c r="T101" s="36" t="str">
        <f>IF(OR($D101="",$E101=""),"",IF(AND($D101&lt;=T$7+6,$E101&gt;=T$7),IF('Plan de Tareas'!$J100="Completada",2,1),""))</f>
        <v/>
      </c>
      <c r="U101" s="36" t="str">
        <f>IF(OR($D101="",$E101=""),"",IF(AND($D101&lt;=U$7+6,$E101&gt;=U$7),IF('Plan de Tareas'!$J100="Completada",2,1),""))</f>
        <v/>
      </c>
      <c r="V101" s="36" t="str">
        <f>IF(OR($D101="",$E101=""),"",IF(AND($D101&lt;=V$7+6,$E101&gt;=V$7),IF('Plan de Tareas'!$J100="Completada",2,1),""))</f>
        <v/>
      </c>
      <c r="W101" s="36" t="str">
        <f>IF(OR($D101="",$E101=""),"",IF(AND($D101&lt;=W$7+6,$E101&gt;=W$7),IF('Plan de Tareas'!$J100="Completada",2,1),""))</f>
        <v/>
      </c>
      <c r="X101" s="36" t="str">
        <f>IF(OR($D101="",$E101=""),"",IF(AND($D101&lt;=X$7+6,$E101&gt;=X$7),IF('Plan de Tareas'!$J100="Completada",2,1),""))</f>
        <v/>
      </c>
      <c r="Y101" s="36" t="str">
        <f>IF(OR($D101="",$E101=""),"",IF(AND($D101&lt;=Y$7+6,$E101&gt;=Y$7),IF('Plan de Tareas'!$J100="Completada",2,1),""))</f>
        <v/>
      </c>
      <c r="Z101" s="36" t="str">
        <f>IF(OR($D101="",$E101=""),"",IF(AND($D101&lt;=Z$7+6,$E101&gt;=Z$7),IF('Plan de Tareas'!$J100="Completada",2,1),""))</f>
        <v/>
      </c>
      <c r="AA101" s="36" t="str">
        <f>IF(OR($D101="",$E101=""),"",IF(AND($D101&lt;=AA$7+6,$E101&gt;=AA$7),IF('Plan de Tareas'!$J100="Completada",2,1),""))</f>
        <v/>
      </c>
      <c r="AB101" s="36" t="str">
        <f>IF(OR($D101="",$E101=""),"",IF(AND($D101&lt;=AB$7+6,$E101&gt;=AB$7),IF('Plan de Tareas'!$J100="Completada",2,1),""))</f>
        <v/>
      </c>
      <c r="AC101" s="36" t="str">
        <f>IF(OR($D101="",$E101=""),"",IF(AND($D101&lt;=AC$7+6,$E101&gt;=AC$7),IF('Plan de Tareas'!$J100="Completada",2,1),""))</f>
        <v/>
      </c>
      <c r="AD101" s="36" t="str">
        <f>IF(OR($D101="",$E101=""),"",IF(AND($D101&lt;=AD$7+6,$E101&gt;=AD$7),IF('Plan de Tareas'!$J100="Completada",2,1),""))</f>
        <v/>
      </c>
      <c r="AE101" s="36" t="str">
        <f>IF(OR($D101="",$E101=""),"",IF(AND($D101&lt;=AE$7+6,$E101&gt;=AE$7),IF('Plan de Tareas'!$J100="Completada",2,1),""))</f>
        <v/>
      </c>
    </row>
    <row r="102" spans="1:31" ht="15" customHeight="1" x14ac:dyDescent="0.3">
      <c r="A102" s="34" t="str">
        <f>IF('Plan de Tareas'!$C101="","",'Plan de Tareas'!$A101)</f>
        <v/>
      </c>
      <c r="B102" s="20" t="str">
        <f>IF('Plan de Tareas'!$C101="","",'Plan de Tareas'!$C101)</f>
        <v/>
      </c>
      <c r="C102" s="20" t="str">
        <f>IF('Plan de Tareas'!$C101="","",'Plan de Tareas'!$D101)</f>
        <v/>
      </c>
      <c r="D102" s="35" t="str">
        <f>IF('Plan de Tareas'!$F101="","",'Plan de Tareas'!$F101)</f>
        <v/>
      </c>
      <c r="E102" s="35" t="str">
        <f>IF('Plan de Tareas'!$G101="","",'Plan de Tareas'!$G101)</f>
        <v/>
      </c>
      <c r="F102" s="36" t="str">
        <f>IF(OR($D102="",$E102=""),"",IF(AND($D102&lt;=F$7+6,$E102&gt;=F$7),IF('Plan de Tareas'!$J101="Completada",2,1),""))</f>
        <v/>
      </c>
      <c r="G102" s="36" t="str">
        <f>IF(OR($D102="",$E102=""),"",IF(AND($D102&lt;=G$7+6,$E102&gt;=G$7),IF('Plan de Tareas'!$J101="Completada",2,1),""))</f>
        <v/>
      </c>
      <c r="H102" s="36" t="str">
        <f>IF(OR($D102="",$E102=""),"",IF(AND($D102&lt;=H$7+6,$E102&gt;=H$7),IF('Plan de Tareas'!$J101="Completada",2,1),""))</f>
        <v/>
      </c>
      <c r="I102" s="36" t="str">
        <f>IF(OR($D102="",$E102=""),"",IF(AND($D102&lt;=I$7+6,$E102&gt;=I$7),IF('Plan de Tareas'!$J101="Completada",2,1),""))</f>
        <v/>
      </c>
      <c r="J102" s="36" t="str">
        <f>IF(OR($D102="",$E102=""),"",IF(AND($D102&lt;=J$7+6,$E102&gt;=J$7),IF('Plan de Tareas'!$J101="Completada",2,1),""))</f>
        <v/>
      </c>
      <c r="K102" s="36" t="str">
        <f>IF(OR($D102="",$E102=""),"",IF(AND($D102&lt;=K$7+6,$E102&gt;=K$7),IF('Plan de Tareas'!$J101="Completada",2,1),""))</f>
        <v/>
      </c>
      <c r="L102" s="36" t="str">
        <f>IF(OR($D102="",$E102=""),"",IF(AND($D102&lt;=L$7+6,$E102&gt;=L$7),IF('Plan de Tareas'!$J101="Completada",2,1),""))</f>
        <v/>
      </c>
      <c r="M102" s="36" t="str">
        <f>IF(OR($D102="",$E102=""),"",IF(AND($D102&lt;=M$7+6,$E102&gt;=M$7),IF('Plan de Tareas'!$J101="Completada",2,1),""))</f>
        <v/>
      </c>
      <c r="N102" s="36" t="str">
        <f>IF(OR($D102="",$E102=""),"",IF(AND($D102&lt;=N$7+6,$E102&gt;=N$7),IF('Plan de Tareas'!$J101="Completada",2,1),""))</f>
        <v/>
      </c>
      <c r="O102" s="36" t="str">
        <f>IF(OR($D102="",$E102=""),"",IF(AND($D102&lt;=O$7+6,$E102&gt;=O$7),IF('Plan de Tareas'!$J101="Completada",2,1),""))</f>
        <v/>
      </c>
      <c r="P102" s="36" t="str">
        <f>IF(OR($D102="",$E102=""),"",IF(AND($D102&lt;=P$7+6,$E102&gt;=P$7),IF('Plan de Tareas'!$J101="Completada",2,1),""))</f>
        <v/>
      </c>
      <c r="Q102" s="36" t="str">
        <f>IF(OR($D102="",$E102=""),"",IF(AND($D102&lt;=Q$7+6,$E102&gt;=Q$7),IF('Plan de Tareas'!$J101="Completada",2,1),""))</f>
        <v/>
      </c>
      <c r="R102" s="36" t="str">
        <f>IF(OR($D102="",$E102=""),"",IF(AND($D102&lt;=R$7+6,$E102&gt;=R$7),IF('Plan de Tareas'!$J101="Completada",2,1),""))</f>
        <v/>
      </c>
      <c r="S102" s="36" t="str">
        <f>IF(OR($D102="",$E102=""),"",IF(AND($D102&lt;=S$7+6,$E102&gt;=S$7),IF('Plan de Tareas'!$J101="Completada",2,1),""))</f>
        <v/>
      </c>
      <c r="T102" s="36" t="str">
        <f>IF(OR($D102="",$E102=""),"",IF(AND($D102&lt;=T$7+6,$E102&gt;=T$7),IF('Plan de Tareas'!$J101="Completada",2,1),""))</f>
        <v/>
      </c>
      <c r="U102" s="36" t="str">
        <f>IF(OR($D102="",$E102=""),"",IF(AND($D102&lt;=U$7+6,$E102&gt;=U$7),IF('Plan de Tareas'!$J101="Completada",2,1),""))</f>
        <v/>
      </c>
      <c r="V102" s="36" t="str">
        <f>IF(OR($D102="",$E102=""),"",IF(AND($D102&lt;=V$7+6,$E102&gt;=V$7),IF('Plan de Tareas'!$J101="Completada",2,1),""))</f>
        <v/>
      </c>
      <c r="W102" s="36" t="str">
        <f>IF(OR($D102="",$E102=""),"",IF(AND($D102&lt;=W$7+6,$E102&gt;=W$7),IF('Plan de Tareas'!$J101="Completada",2,1),""))</f>
        <v/>
      </c>
      <c r="X102" s="36" t="str">
        <f>IF(OR($D102="",$E102=""),"",IF(AND($D102&lt;=X$7+6,$E102&gt;=X$7),IF('Plan de Tareas'!$J101="Completada",2,1),""))</f>
        <v/>
      </c>
      <c r="Y102" s="36" t="str">
        <f>IF(OR($D102="",$E102=""),"",IF(AND($D102&lt;=Y$7+6,$E102&gt;=Y$7),IF('Plan de Tareas'!$J101="Completada",2,1),""))</f>
        <v/>
      </c>
      <c r="Z102" s="36" t="str">
        <f>IF(OR($D102="",$E102=""),"",IF(AND($D102&lt;=Z$7+6,$E102&gt;=Z$7),IF('Plan de Tareas'!$J101="Completada",2,1),""))</f>
        <v/>
      </c>
      <c r="AA102" s="36" t="str">
        <f>IF(OR($D102="",$E102=""),"",IF(AND($D102&lt;=AA$7+6,$E102&gt;=AA$7),IF('Plan de Tareas'!$J101="Completada",2,1),""))</f>
        <v/>
      </c>
      <c r="AB102" s="36" t="str">
        <f>IF(OR($D102="",$E102=""),"",IF(AND($D102&lt;=AB$7+6,$E102&gt;=AB$7),IF('Plan de Tareas'!$J101="Completada",2,1),""))</f>
        <v/>
      </c>
      <c r="AC102" s="36" t="str">
        <f>IF(OR($D102="",$E102=""),"",IF(AND($D102&lt;=AC$7+6,$E102&gt;=AC$7),IF('Plan de Tareas'!$J101="Completada",2,1),""))</f>
        <v/>
      </c>
      <c r="AD102" s="36" t="str">
        <f>IF(OR($D102="",$E102=""),"",IF(AND($D102&lt;=AD$7+6,$E102&gt;=AD$7),IF('Plan de Tareas'!$J101="Completada",2,1),""))</f>
        <v/>
      </c>
      <c r="AE102" s="36" t="str">
        <f>IF(OR($D102="",$E102=""),"",IF(AND($D102&lt;=AE$7+6,$E102&gt;=AE$7),IF('Plan de Tareas'!$J101="Completada",2,1),""))</f>
        <v/>
      </c>
    </row>
    <row r="103" spans="1:31" ht="15" customHeight="1" x14ac:dyDescent="0.3">
      <c r="A103" s="37" t="str">
        <f>IF('Plan de Tareas'!$C102="","",'Plan de Tareas'!$A102)</f>
        <v/>
      </c>
      <c r="B103" s="26" t="str">
        <f>IF('Plan de Tareas'!$C102="","",'Plan de Tareas'!$C102)</f>
        <v/>
      </c>
      <c r="C103" s="26" t="str">
        <f>IF('Plan de Tareas'!$C102="","",'Plan de Tareas'!$D102)</f>
        <v/>
      </c>
      <c r="D103" s="38" t="str">
        <f>IF('Plan de Tareas'!$F102="","",'Plan de Tareas'!$F102)</f>
        <v/>
      </c>
      <c r="E103" s="38" t="str">
        <f>IF('Plan de Tareas'!$G102="","",'Plan de Tareas'!$G102)</f>
        <v/>
      </c>
      <c r="F103" s="36" t="str">
        <f>IF(OR($D103="",$E103=""),"",IF(AND($D103&lt;=F$7+6,$E103&gt;=F$7),IF('Plan de Tareas'!$J102="Completada",2,1),""))</f>
        <v/>
      </c>
      <c r="G103" s="36" t="str">
        <f>IF(OR($D103="",$E103=""),"",IF(AND($D103&lt;=G$7+6,$E103&gt;=G$7),IF('Plan de Tareas'!$J102="Completada",2,1),""))</f>
        <v/>
      </c>
      <c r="H103" s="36" t="str">
        <f>IF(OR($D103="",$E103=""),"",IF(AND($D103&lt;=H$7+6,$E103&gt;=H$7),IF('Plan de Tareas'!$J102="Completada",2,1),""))</f>
        <v/>
      </c>
      <c r="I103" s="36" t="str">
        <f>IF(OR($D103="",$E103=""),"",IF(AND($D103&lt;=I$7+6,$E103&gt;=I$7),IF('Plan de Tareas'!$J102="Completada",2,1),""))</f>
        <v/>
      </c>
      <c r="J103" s="36" t="str">
        <f>IF(OR($D103="",$E103=""),"",IF(AND($D103&lt;=J$7+6,$E103&gt;=J$7),IF('Plan de Tareas'!$J102="Completada",2,1),""))</f>
        <v/>
      </c>
      <c r="K103" s="36" t="str">
        <f>IF(OR($D103="",$E103=""),"",IF(AND($D103&lt;=K$7+6,$E103&gt;=K$7),IF('Plan de Tareas'!$J102="Completada",2,1),""))</f>
        <v/>
      </c>
      <c r="L103" s="36" t="str">
        <f>IF(OR($D103="",$E103=""),"",IF(AND($D103&lt;=L$7+6,$E103&gt;=L$7),IF('Plan de Tareas'!$J102="Completada",2,1),""))</f>
        <v/>
      </c>
      <c r="M103" s="36" t="str">
        <f>IF(OR($D103="",$E103=""),"",IF(AND($D103&lt;=M$7+6,$E103&gt;=M$7),IF('Plan de Tareas'!$J102="Completada",2,1),""))</f>
        <v/>
      </c>
      <c r="N103" s="36" t="str">
        <f>IF(OR($D103="",$E103=""),"",IF(AND($D103&lt;=N$7+6,$E103&gt;=N$7),IF('Plan de Tareas'!$J102="Completada",2,1),""))</f>
        <v/>
      </c>
      <c r="O103" s="36" t="str">
        <f>IF(OR($D103="",$E103=""),"",IF(AND($D103&lt;=O$7+6,$E103&gt;=O$7),IF('Plan de Tareas'!$J102="Completada",2,1),""))</f>
        <v/>
      </c>
      <c r="P103" s="36" t="str">
        <f>IF(OR($D103="",$E103=""),"",IF(AND($D103&lt;=P$7+6,$E103&gt;=P$7),IF('Plan de Tareas'!$J102="Completada",2,1),""))</f>
        <v/>
      </c>
      <c r="Q103" s="36" t="str">
        <f>IF(OR($D103="",$E103=""),"",IF(AND($D103&lt;=Q$7+6,$E103&gt;=Q$7),IF('Plan de Tareas'!$J102="Completada",2,1),""))</f>
        <v/>
      </c>
      <c r="R103" s="36" t="str">
        <f>IF(OR($D103="",$E103=""),"",IF(AND($D103&lt;=R$7+6,$E103&gt;=R$7),IF('Plan de Tareas'!$J102="Completada",2,1),""))</f>
        <v/>
      </c>
      <c r="S103" s="36" t="str">
        <f>IF(OR($D103="",$E103=""),"",IF(AND($D103&lt;=S$7+6,$E103&gt;=S$7),IF('Plan de Tareas'!$J102="Completada",2,1),""))</f>
        <v/>
      </c>
      <c r="T103" s="36" t="str">
        <f>IF(OR($D103="",$E103=""),"",IF(AND($D103&lt;=T$7+6,$E103&gt;=T$7),IF('Plan de Tareas'!$J102="Completada",2,1),""))</f>
        <v/>
      </c>
      <c r="U103" s="36" t="str">
        <f>IF(OR($D103="",$E103=""),"",IF(AND($D103&lt;=U$7+6,$E103&gt;=U$7),IF('Plan de Tareas'!$J102="Completada",2,1),""))</f>
        <v/>
      </c>
      <c r="V103" s="36" t="str">
        <f>IF(OR($D103="",$E103=""),"",IF(AND($D103&lt;=V$7+6,$E103&gt;=V$7),IF('Plan de Tareas'!$J102="Completada",2,1),""))</f>
        <v/>
      </c>
      <c r="W103" s="36" t="str">
        <f>IF(OR($D103="",$E103=""),"",IF(AND($D103&lt;=W$7+6,$E103&gt;=W$7),IF('Plan de Tareas'!$J102="Completada",2,1),""))</f>
        <v/>
      </c>
      <c r="X103" s="36" t="str">
        <f>IF(OR($D103="",$E103=""),"",IF(AND($D103&lt;=X$7+6,$E103&gt;=X$7),IF('Plan de Tareas'!$J102="Completada",2,1),""))</f>
        <v/>
      </c>
      <c r="Y103" s="36" t="str">
        <f>IF(OR($D103="",$E103=""),"",IF(AND($D103&lt;=Y$7+6,$E103&gt;=Y$7),IF('Plan de Tareas'!$J102="Completada",2,1),""))</f>
        <v/>
      </c>
      <c r="Z103" s="36" t="str">
        <f>IF(OR($D103="",$E103=""),"",IF(AND($D103&lt;=Z$7+6,$E103&gt;=Z$7),IF('Plan de Tareas'!$J102="Completada",2,1),""))</f>
        <v/>
      </c>
      <c r="AA103" s="36" t="str">
        <f>IF(OR($D103="",$E103=""),"",IF(AND($D103&lt;=AA$7+6,$E103&gt;=AA$7),IF('Plan de Tareas'!$J102="Completada",2,1),""))</f>
        <v/>
      </c>
      <c r="AB103" s="36" t="str">
        <f>IF(OR($D103="",$E103=""),"",IF(AND($D103&lt;=AB$7+6,$E103&gt;=AB$7),IF('Plan de Tareas'!$J102="Completada",2,1),""))</f>
        <v/>
      </c>
      <c r="AC103" s="36" t="str">
        <f>IF(OR($D103="",$E103=""),"",IF(AND($D103&lt;=AC$7+6,$E103&gt;=AC$7),IF('Plan de Tareas'!$J102="Completada",2,1),""))</f>
        <v/>
      </c>
      <c r="AD103" s="36" t="str">
        <f>IF(OR($D103="",$E103=""),"",IF(AND($D103&lt;=AD$7+6,$E103&gt;=AD$7),IF('Plan de Tareas'!$J102="Completada",2,1),""))</f>
        <v/>
      </c>
      <c r="AE103" s="36" t="str">
        <f>IF(OR($D103="",$E103=""),"",IF(AND($D103&lt;=AE$7+6,$E103&gt;=AE$7),IF('Plan de Tareas'!$J102="Completada",2,1),""))</f>
        <v/>
      </c>
    </row>
    <row r="104" spans="1:31" ht="15" customHeight="1" x14ac:dyDescent="0.3">
      <c r="A104" s="34" t="str">
        <f>IF('Plan de Tareas'!$C103="","",'Plan de Tareas'!$A103)</f>
        <v/>
      </c>
      <c r="B104" s="20" t="str">
        <f>IF('Plan de Tareas'!$C103="","",'Plan de Tareas'!$C103)</f>
        <v/>
      </c>
      <c r="C104" s="20" t="str">
        <f>IF('Plan de Tareas'!$C103="","",'Plan de Tareas'!$D103)</f>
        <v/>
      </c>
      <c r="D104" s="35" t="str">
        <f>IF('Plan de Tareas'!$F103="","",'Plan de Tareas'!$F103)</f>
        <v/>
      </c>
      <c r="E104" s="35" t="str">
        <f>IF('Plan de Tareas'!$G103="","",'Plan de Tareas'!$G103)</f>
        <v/>
      </c>
      <c r="F104" s="36" t="str">
        <f>IF(OR($D104="",$E104=""),"",IF(AND($D104&lt;=F$7+6,$E104&gt;=F$7),IF('Plan de Tareas'!$J103="Completada",2,1),""))</f>
        <v/>
      </c>
      <c r="G104" s="36" t="str">
        <f>IF(OR($D104="",$E104=""),"",IF(AND($D104&lt;=G$7+6,$E104&gt;=G$7),IF('Plan de Tareas'!$J103="Completada",2,1),""))</f>
        <v/>
      </c>
      <c r="H104" s="36" t="str">
        <f>IF(OR($D104="",$E104=""),"",IF(AND($D104&lt;=H$7+6,$E104&gt;=H$7),IF('Plan de Tareas'!$J103="Completada",2,1),""))</f>
        <v/>
      </c>
      <c r="I104" s="36" t="str">
        <f>IF(OR($D104="",$E104=""),"",IF(AND($D104&lt;=I$7+6,$E104&gt;=I$7),IF('Plan de Tareas'!$J103="Completada",2,1),""))</f>
        <v/>
      </c>
      <c r="J104" s="36" t="str">
        <f>IF(OR($D104="",$E104=""),"",IF(AND($D104&lt;=J$7+6,$E104&gt;=J$7),IF('Plan de Tareas'!$J103="Completada",2,1),""))</f>
        <v/>
      </c>
      <c r="K104" s="36" t="str">
        <f>IF(OR($D104="",$E104=""),"",IF(AND($D104&lt;=K$7+6,$E104&gt;=K$7),IF('Plan de Tareas'!$J103="Completada",2,1),""))</f>
        <v/>
      </c>
      <c r="L104" s="36" t="str">
        <f>IF(OR($D104="",$E104=""),"",IF(AND($D104&lt;=L$7+6,$E104&gt;=L$7),IF('Plan de Tareas'!$J103="Completada",2,1),""))</f>
        <v/>
      </c>
      <c r="M104" s="36" t="str">
        <f>IF(OR($D104="",$E104=""),"",IF(AND($D104&lt;=M$7+6,$E104&gt;=M$7),IF('Plan de Tareas'!$J103="Completada",2,1),""))</f>
        <v/>
      </c>
      <c r="N104" s="36" t="str">
        <f>IF(OR($D104="",$E104=""),"",IF(AND($D104&lt;=N$7+6,$E104&gt;=N$7),IF('Plan de Tareas'!$J103="Completada",2,1),""))</f>
        <v/>
      </c>
      <c r="O104" s="36" t="str">
        <f>IF(OR($D104="",$E104=""),"",IF(AND($D104&lt;=O$7+6,$E104&gt;=O$7),IF('Plan de Tareas'!$J103="Completada",2,1),""))</f>
        <v/>
      </c>
      <c r="P104" s="36" t="str">
        <f>IF(OR($D104="",$E104=""),"",IF(AND($D104&lt;=P$7+6,$E104&gt;=P$7),IF('Plan de Tareas'!$J103="Completada",2,1),""))</f>
        <v/>
      </c>
      <c r="Q104" s="36" t="str">
        <f>IF(OR($D104="",$E104=""),"",IF(AND($D104&lt;=Q$7+6,$E104&gt;=Q$7),IF('Plan de Tareas'!$J103="Completada",2,1),""))</f>
        <v/>
      </c>
      <c r="R104" s="36" t="str">
        <f>IF(OR($D104="",$E104=""),"",IF(AND($D104&lt;=R$7+6,$E104&gt;=R$7),IF('Plan de Tareas'!$J103="Completada",2,1),""))</f>
        <v/>
      </c>
      <c r="S104" s="36" t="str">
        <f>IF(OR($D104="",$E104=""),"",IF(AND($D104&lt;=S$7+6,$E104&gt;=S$7),IF('Plan de Tareas'!$J103="Completada",2,1),""))</f>
        <v/>
      </c>
      <c r="T104" s="36" t="str">
        <f>IF(OR($D104="",$E104=""),"",IF(AND($D104&lt;=T$7+6,$E104&gt;=T$7),IF('Plan de Tareas'!$J103="Completada",2,1),""))</f>
        <v/>
      </c>
      <c r="U104" s="36" t="str">
        <f>IF(OR($D104="",$E104=""),"",IF(AND($D104&lt;=U$7+6,$E104&gt;=U$7),IF('Plan de Tareas'!$J103="Completada",2,1),""))</f>
        <v/>
      </c>
      <c r="V104" s="36" t="str">
        <f>IF(OR($D104="",$E104=""),"",IF(AND($D104&lt;=V$7+6,$E104&gt;=V$7),IF('Plan de Tareas'!$J103="Completada",2,1),""))</f>
        <v/>
      </c>
      <c r="W104" s="36" t="str">
        <f>IF(OR($D104="",$E104=""),"",IF(AND($D104&lt;=W$7+6,$E104&gt;=W$7),IF('Plan de Tareas'!$J103="Completada",2,1),""))</f>
        <v/>
      </c>
      <c r="X104" s="36" t="str">
        <f>IF(OR($D104="",$E104=""),"",IF(AND($D104&lt;=X$7+6,$E104&gt;=X$7),IF('Plan de Tareas'!$J103="Completada",2,1),""))</f>
        <v/>
      </c>
      <c r="Y104" s="36" t="str">
        <f>IF(OR($D104="",$E104=""),"",IF(AND($D104&lt;=Y$7+6,$E104&gt;=Y$7),IF('Plan de Tareas'!$J103="Completada",2,1),""))</f>
        <v/>
      </c>
      <c r="Z104" s="36" t="str">
        <f>IF(OR($D104="",$E104=""),"",IF(AND($D104&lt;=Z$7+6,$E104&gt;=Z$7),IF('Plan de Tareas'!$J103="Completada",2,1),""))</f>
        <v/>
      </c>
      <c r="AA104" s="36" t="str">
        <f>IF(OR($D104="",$E104=""),"",IF(AND($D104&lt;=AA$7+6,$E104&gt;=AA$7),IF('Plan de Tareas'!$J103="Completada",2,1),""))</f>
        <v/>
      </c>
      <c r="AB104" s="36" t="str">
        <f>IF(OR($D104="",$E104=""),"",IF(AND($D104&lt;=AB$7+6,$E104&gt;=AB$7),IF('Plan de Tareas'!$J103="Completada",2,1),""))</f>
        <v/>
      </c>
      <c r="AC104" s="36" t="str">
        <f>IF(OR($D104="",$E104=""),"",IF(AND($D104&lt;=AC$7+6,$E104&gt;=AC$7),IF('Plan de Tareas'!$J103="Completada",2,1),""))</f>
        <v/>
      </c>
      <c r="AD104" s="36" t="str">
        <f>IF(OR($D104="",$E104=""),"",IF(AND($D104&lt;=AD$7+6,$E104&gt;=AD$7),IF('Plan de Tareas'!$J103="Completada",2,1),""))</f>
        <v/>
      </c>
      <c r="AE104" s="36" t="str">
        <f>IF(OR($D104="",$E104=""),"",IF(AND($D104&lt;=AE$7+6,$E104&gt;=AE$7),IF('Plan de Tareas'!$J103="Completada",2,1),""))</f>
        <v/>
      </c>
    </row>
    <row r="105" spans="1:31" ht="15" customHeight="1" x14ac:dyDescent="0.3">
      <c r="A105" s="37" t="str">
        <f>IF('Plan de Tareas'!$C104="","",'Plan de Tareas'!$A104)</f>
        <v/>
      </c>
      <c r="B105" s="26" t="str">
        <f>IF('Plan de Tareas'!$C104="","",'Plan de Tareas'!$C104)</f>
        <v/>
      </c>
      <c r="C105" s="26" t="str">
        <f>IF('Plan de Tareas'!$C104="","",'Plan de Tareas'!$D104)</f>
        <v/>
      </c>
      <c r="D105" s="38" t="str">
        <f>IF('Plan de Tareas'!$F104="","",'Plan de Tareas'!$F104)</f>
        <v/>
      </c>
      <c r="E105" s="38" t="str">
        <f>IF('Plan de Tareas'!$G104="","",'Plan de Tareas'!$G104)</f>
        <v/>
      </c>
      <c r="F105" s="36" t="str">
        <f>IF(OR($D105="",$E105=""),"",IF(AND($D105&lt;=F$7+6,$E105&gt;=F$7),IF('Plan de Tareas'!$J104="Completada",2,1),""))</f>
        <v/>
      </c>
      <c r="G105" s="36" t="str">
        <f>IF(OR($D105="",$E105=""),"",IF(AND($D105&lt;=G$7+6,$E105&gt;=G$7),IF('Plan de Tareas'!$J104="Completada",2,1),""))</f>
        <v/>
      </c>
      <c r="H105" s="36" t="str">
        <f>IF(OR($D105="",$E105=""),"",IF(AND($D105&lt;=H$7+6,$E105&gt;=H$7),IF('Plan de Tareas'!$J104="Completada",2,1),""))</f>
        <v/>
      </c>
      <c r="I105" s="36" t="str">
        <f>IF(OR($D105="",$E105=""),"",IF(AND($D105&lt;=I$7+6,$E105&gt;=I$7),IF('Plan de Tareas'!$J104="Completada",2,1),""))</f>
        <v/>
      </c>
      <c r="J105" s="36" t="str">
        <f>IF(OR($D105="",$E105=""),"",IF(AND($D105&lt;=J$7+6,$E105&gt;=J$7),IF('Plan de Tareas'!$J104="Completada",2,1),""))</f>
        <v/>
      </c>
      <c r="K105" s="36" t="str">
        <f>IF(OR($D105="",$E105=""),"",IF(AND($D105&lt;=K$7+6,$E105&gt;=K$7),IF('Plan de Tareas'!$J104="Completada",2,1),""))</f>
        <v/>
      </c>
      <c r="L105" s="36" t="str">
        <f>IF(OR($D105="",$E105=""),"",IF(AND($D105&lt;=L$7+6,$E105&gt;=L$7),IF('Plan de Tareas'!$J104="Completada",2,1),""))</f>
        <v/>
      </c>
      <c r="M105" s="36" t="str">
        <f>IF(OR($D105="",$E105=""),"",IF(AND($D105&lt;=M$7+6,$E105&gt;=M$7),IF('Plan de Tareas'!$J104="Completada",2,1),""))</f>
        <v/>
      </c>
      <c r="N105" s="36" t="str">
        <f>IF(OR($D105="",$E105=""),"",IF(AND($D105&lt;=N$7+6,$E105&gt;=N$7),IF('Plan de Tareas'!$J104="Completada",2,1),""))</f>
        <v/>
      </c>
      <c r="O105" s="36" t="str">
        <f>IF(OR($D105="",$E105=""),"",IF(AND($D105&lt;=O$7+6,$E105&gt;=O$7),IF('Plan de Tareas'!$J104="Completada",2,1),""))</f>
        <v/>
      </c>
      <c r="P105" s="36" t="str">
        <f>IF(OR($D105="",$E105=""),"",IF(AND($D105&lt;=P$7+6,$E105&gt;=P$7),IF('Plan de Tareas'!$J104="Completada",2,1),""))</f>
        <v/>
      </c>
      <c r="Q105" s="36" t="str">
        <f>IF(OR($D105="",$E105=""),"",IF(AND($D105&lt;=Q$7+6,$E105&gt;=Q$7),IF('Plan de Tareas'!$J104="Completada",2,1),""))</f>
        <v/>
      </c>
      <c r="R105" s="36" t="str">
        <f>IF(OR($D105="",$E105=""),"",IF(AND($D105&lt;=R$7+6,$E105&gt;=R$7),IF('Plan de Tareas'!$J104="Completada",2,1),""))</f>
        <v/>
      </c>
      <c r="S105" s="36" t="str">
        <f>IF(OR($D105="",$E105=""),"",IF(AND($D105&lt;=S$7+6,$E105&gt;=S$7),IF('Plan de Tareas'!$J104="Completada",2,1),""))</f>
        <v/>
      </c>
      <c r="T105" s="36" t="str">
        <f>IF(OR($D105="",$E105=""),"",IF(AND($D105&lt;=T$7+6,$E105&gt;=T$7),IF('Plan de Tareas'!$J104="Completada",2,1),""))</f>
        <v/>
      </c>
      <c r="U105" s="36" t="str">
        <f>IF(OR($D105="",$E105=""),"",IF(AND($D105&lt;=U$7+6,$E105&gt;=U$7),IF('Plan de Tareas'!$J104="Completada",2,1),""))</f>
        <v/>
      </c>
      <c r="V105" s="36" t="str">
        <f>IF(OR($D105="",$E105=""),"",IF(AND($D105&lt;=V$7+6,$E105&gt;=V$7),IF('Plan de Tareas'!$J104="Completada",2,1),""))</f>
        <v/>
      </c>
      <c r="W105" s="36" t="str">
        <f>IF(OR($D105="",$E105=""),"",IF(AND($D105&lt;=W$7+6,$E105&gt;=W$7),IF('Plan de Tareas'!$J104="Completada",2,1),""))</f>
        <v/>
      </c>
      <c r="X105" s="36" t="str">
        <f>IF(OR($D105="",$E105=""),"",IF(AND($D105&lt;=X$7+6,$E105&gt;=X$7),IF('Plan de Tareas'!$J104="Completada",2,1),""))</f>
        <v/>
      </c>
      <c r="Y105" s="36" t="str">
        <f>IF(OR($D105="",$E105=""),"",IF(AND($D105&lt;=Y$7+6,$E105&gt;=Y$7),IF('Plan de Tareas'!$J104="Completada",2,1),""))</f>
        <v/>
      </c>
      <c r="Z105" s="36" t="str">
        <f>IF(OR($D105="",$E105=""),"",IF(AND($D105&lt;=Z$7+6,$E105&gt;=Z$7),IF('Plan de Tareas'!$J104="Completada",2,1),""))</f>
        <v/>
      </c>
      <c r="AA105" s="36" t="str">
        <f>IF(OR($D105="",$E105=""),"",IF(AND($D105&lt;=AA$7+6,$E105&gt;=AA$7),IF('Plan de Tareas'!$J104="Completada",2,1),""))</f>
        <v/>
      </c>
      <c r="AB105" s="36" t="str">
        <f>IF(OR($D105="",$E105=""),"",IF(AND($D105&lt;=AB$7+6,$E105&gt;=AB$7),IF('Plan de Tareas'!$J104="Completada",2,1),""))</f>
        <v/>
      </c>
      <c r="AC105" s="36" t="str">
        <f>IF(OR($D105="",$E105=""),"",IF(AND($D105&lt;=AC$7+6,$E105&gt;=AC$7),IF('Plan de Tareas'!$J104="Completada",2,1),""))</f>
        <v/>
      </c>
      <c r="AD105" s="36" t="str">
        <f>IF(OR($D105="",$E105=""),"",IF(AND($D105&lt;=AD$7+6,$E105&gt;=AD$7),IF('Plan de Tareas'!$J104="Completada",2,1),""))</f>
        <v/>
      </c>
      <c r="AE105" s="36" t="str">
        <f>IF(OR($D105="",$E105=""),"",IF(AND($D105&lt;=AE$7+6,$E105&gt;=AE$7),IF('Plan de Tareas'!$J104="Completada",2,1),""))</f>
        <v/>
      </c>
    </row>
    <row r="106" spans="1:31" ht="15" customHeight="1" x14ac:dyDescent="0.3">
      <c r="A106" s="34" t="str">
        <f>IF('Plan de Tareas'!$C105="","",'Plan de Tareas'!$A105)</f>
        <v/>
      </c>
      <c r="B106" s="20" t="str">
        <f>IF('Plan de Tareas'!$C105="","",'Plan de Tareas'!$C105)</f>
        <v/>
      </c>
      <c r="C106" s="20" t="str">
        <f>IF('Plan de Tareas'!$C105="","",'Plan de Tareas'!$D105)</f>
        <v/>
      </c>
      <c r="D106" s="35" t="str">
        <f>IF('Plan de Tareas'!$F105="","",'Plan de Tareas'!$F105)</f>
        <v/>
      </c>
      <c r="E106" s="35" t="str">
        <f>IF('Plan de Tareas'!$G105="","",'Plan de Tareas'!$G105)</f>
        <v/>
      </c>
      <c r="F106" s="36" t="str">
        <f>IF(OR($D106="",$E106=""),"",IF(AND($D106&lt;=F$7+6,$E106&gt;=F$7),IF('Plan de Tareas'!$J105="Completada",2,1),""))</f>
        <v/>
      </c>
      <c r="G106" s="36" t="str">
        <f>IF(OR($D106="",$E106=""),"",IF(AND($D106&lt;=G$7+6,$E106&gt;=G$7),IF('Plan de Tareas'!$J105="Completada",2,1),""))</f>
        <v/>
      </c>
      <c r="H106" s="36" t="str">
        <f>IF(OR($D106="",$E106=""),"",IF(AND($D106&lt;=H$7+6,$E106&gt;=H$7),IF('Plan de Tareas'!$J105="Completada",2,1),""))</f>
        <v/>
      </c>
      <c r="I106" s="36" t="str">
        <f>IF(OR($D106="",$E106=""),"",IF(AND($D106&lt;=I$7+6,$E106&gt;=I$7),IF('Plan de Tareas'!$J105="Completada",2,1),""))</f>
        <v/>
      </c>
      <c r="J106" s="36" t="str">
        <f>IF(OR($D106="",$E106=""),"",IF(AND($D106&lt;=J$7+6,$E106&gt;=J$7),IF('Plan de Tareas'!$J105="Completada",2,1),""))</f>
        <v/>
      </c>
      <c r="K106" s="36" t="str">
        <f>IF(OR($D106="",$E106=""),"",IF(AND($D106&lt;=K$7+6,$E106&gt;=K$7),IF('Plan de Tareas'!$J105="Completada",2,1),""))</f>
        <v/>
      </c>
      <c r="L106" s="36" t="str">
        <f>IF(OR($D106="",$E106=""),"",IF(AND($D106&lt;=L$7+6,$E106&gt;=L$7),IF('Plan de Tareas'!$J105="Completada",2,1),""))</f>
        <v/>
      </c>
      <c r="M106" s="36" t="str">
        <f>IF(OR($D106="",$E106=""),"",IF(AND($D106&lt;=M$7+6,$E106&gt;=M$7),IF('Plan de Tareas'!$J105="Completada",2,1),""))</f>
        <v/>
      </c>
      <c r="N106" s="36" t="str">
        <f>IF(OR($D106="",$E106=""),"",IF(AND($D106&lt;=N$7+6,$E106&gt;=N$7),IF('Plan de Tareas'!$J105="Completada",2,1),""))</f>
        <v/>
      </c>
      <c r="O106" s="36" t="str">
        <f>IF(OR($D106="",$E106=""),"",IF(AND($D106&lt;=O$7+6,$E106&gt;=O$7),IF('Plan de Tareas'!$J105="Completada",2,1),""))</f>
        <v/>
      </c>
      <c r="P106" s="36" t="str">
        <f>IF(OR($D106="",$E106=""),"",IF(AND($D106&lt;=P$7+6,$E106&gt;=P$7),IF('Plan de Tareas'!$J105="Completada",2,1),""))</f>
        <v/>
      </c>
      <c r="Q106" s="36" t="str">
        <f>IF(OR($D106="",$E106=""),"",IF(AND($D106&lt;=Q$7+6,$E106&gt;=Q$7),IF('Plan de Tareas'!$J105="Completada",2,1),""))</f>
        <v/>
      </c>
      <c r="R106" s="36" t="str">
        <f>IF(OR($D106="",$E106=""),"",IF(AND($D106&lt;=R$7+6,$E106&gt;=R$7),IF('Plan de Tareas'!$J105="Completada",2,1),""))</f>
        <v/>
      </c>
      <c r="S106" s="36" t="str">
        <f>IF(OR($D106="",$E106=""),"",IF(AND($D106&lt;=S$7+6,$E106&gt;=S$7),IF('Plan de Tareas'!$J105="Completada",2,1),""))</f>
        <v/>
      </c>
      <c r="T106" s="36" t="str">
        <f>IF(OR($D106="",$E106=""),"",IF(AND($D106&lt;=T$7+6,$E106&gt;=T$7),IF('Plan de Tareas'!$J105="Completada",2,1),""))</f>
        <v/>
      </c>
      <c r="U106" s="36" t="str">
        <f>IF(OR($D106="",$E106=""),"",IF(AND($D106&lt;=U$7+6,$E106&gt;=U$7),IF('Plan de Tareas'!$J105="Completada",2,1),""))</f>
        <v/>
      </c>
      <c r="V106" s="36" t="str">
        <f>IF(OR($D106="",$E106=""),"",IF(AND($D106&lt;=V$7+6,$E106&gt;=V$7),IF('Plan de Tareas'!$J105="Completada",2,1),""))</f>
        <v/>
      </c>
      <c r="W106" s="36" t="str">
        <f>IF(OR($D106="",$E106=""),"",IF(AND($D106&lt;=W$7+6,$E106&gt;=W$7),IF('Plan de Tareas'!$J105="Completada",2,1),""))</f>
        <v/>
      </c>
      <c r="X106" s="36" t="str">
        <f>IF(OR($D106="",$E106=""),"",IF(AND($D106&lt;=X$7+6,$E106&gt;=X$7),IF('Plan de Tareas'!$J105="Completada",2,1),""))</f>
        <v/>
      </c>
      <c r="Y106" s="36" t="str">
        <f>IF(OR($D106="",$E106=""),"",IF(AND($D106&lt;=Y$7+6,$E106&gt;=Y$7),IF('Plan de Tareas'!$J105="Completada",2,1),""))</f>
        <v/>
      </c>
      <c r="Z106" s="36" t="str">
        <f>IF(OR($D106="",$E106=""),"",IF(AND($D106&lt;=Z$7+6,$E106&gt;=Z$7),IF('Plan de Tareas'!$J105="Completada",2,1),""))</f>
        <v/>
      </c>
      <c r="AA106" s="36" t="str">
        <f>IF(OR($D106="",$E106=""),"",IF(AND($D106&lt;=AA$7+6,$E106&gt;=AA$7),IF('Plan de Tareas'!$J105="Completada",2,1),""))</f>
        <v/>
      </c>
      <c r="AB106" s="36" t="str">
        <f>IF(OR($D106="",$E106=""),"",IF(AND($D106&lt;=AB$7+6,$E106&gt;=AB$7),IF('Plan de Tareas'!$J105="Completada",2,1),""))</f>
        <v/>
      </c>
      <c r="AC106" s="36" t="str">
        <f>IF(OR($D106="",$E106=""),"",IF(AND($D106&lt;=AC$7+6,$E106&gt;=AC$7),IF('Plan de Tareas'!$J105="Completada",2,1),""))</f>
        <v/>
      </c>
      <c r="AD106" s="36" t="str">
        <f>IF(OR($D106="",$E106=""),"",IF(AND($D106&lt;=AD$7+6,$E106&gt;=AD$7),IF('Plan de Tareas'!$J105="Completada",2,1),""))</f>
        <v/>
      </c>
      <c r="AE106" s="36" t="str">
        <f>IF(OR($D106="",$E106=""),"",IF(AND($D106&lt;=AE$7+6,$E106&gt;=AE$7),IF('Plan de Tareas'!$J105="Completada",2,1),""))</f>
        <v/>
      </c>
    </row>
    <row r="107" spans="1:31" ht="15" customHeight="1" x14ac:dyDescent="0.3">
      <c r="A107" s="37" t="str">
        <f>IF('Plan de Tareas'!$C106="","",'Plan de Tareas'!$A106)</f>
        <v/>
      </c>
      <c r="B107" s="26" t="str">
        <f>IF('Plan de Tareas'!$C106="","",'Plan de Tareas'!$C106)</f>
        <v/>
      </c>
      <c r="C107" s="26" t="str">
        <f>IF('Plan de Tareas'!$C106="","",'Plan de Tareas'!$D106)</f>
        <v/>
      </c>
      <c r="D107" s="38" t="str">
        <f>IF('Plan de Tareas'!$F106="","",'Plan de Tareas'!$F106)</f>
        <v/>
      </c>
      <c r="E107" s="38" t="str">
        <f>IF('Plan de Tareas'!$G106="","",'Plan de Tareas'!$G106)</f>
        <v/>
      </c>
      <c r="F107" s="36" t="str">
        <f>IF(OR($D107="",$E107=""),"",IF(AND($D107&lt;=F$7+6,$E107&gt;=F$7),IF('Plan de Tareas'!$J106="Completada",2,1),""))</f>
        <v/>
      </c>
      <c r="G107" s="36" t="str">
        <f>IF(OR($D107="",$E107=""),"",IF(AND($D107&lt;=G$7+6,$E107&gt;=G$7),IF('Plan de Tareas'!$J106="Completada",2,1),""))</f>
        <v/>
      </c>
      <c r="H107" s="36" t="str">
        <f>IF(OR($D107="",$E107=""),"",IF(AND($D107&lt;=H$7+6,$E107&gt;=H$7),IF('Plan de Tareas'!$J106="Completada",2,1),""))</f>
        <v/>
      </c>
      <c r="I107" s="36" t="str">
        <f>IF(OR($D107="",$E107=""),"",IF(AND($D107&lt;=I$7+6,$E107&gt;=I$7),IF('Plan de Tareas'!$J106="Completada",2,1),""))</f>
        <v/>
      </c>
      <c r="J107" s="36" t="str">
        <f>IF(OR($D107="",$E107=""),"",IF(AND($D107&lt;=J$7+6,$E107&gt;=J$7),IF('Plan de Tareas'!$J106="Completada",2,1),""))</f>
        <v/>
      </c>
      <c r="K107" s="36" t="str">
        <f>IF(OR($D107="",$E107=""),"",IF(AND($D107&lt;=K$7+6,$E107&gt;=K$7),IF('Plan de Tareas'!$J106="Completada",2,1),""))</f>
        <v/>
      </c>
      <c r="L107" s="36" t="str">
        <f>IF(OR($D107="",$E107=""),"",IF(AND($D107&lt;=L$7+6,$E107&gt;=L$7),IF('Plan de Tareas'!$J106="Completada",2,1),""))</f>
        <v/>
      </c>
      <c r="M107" s="36" t="str">
        <f>IF(OR($D107="",$E107=""),"",IF(AND($D107&lt;=M$7+6,$E107&gt;=M$7),IF('Plan de Tareas'!$J106="Completada",2,1),""))</f>
        <v/>
      </c>
      <c r="N107" s="36" t="str">
        <f>IF(OR($D107="",$E107=""),"",IF(AND($D107&lt;=N$7+6,$E107&gt;=N$7),IF('Plan de Tareas'!$J106="Completada",2,1),""))</f>
        <v/>
      </c>
      <c r="O107" s="36" t="str">
        <f>IF(OR($D107="",$E107=""),"",IF(AND($D107&lt;=O$7+6,$E107&gt;=O$7),IF('Plan de Tareas'!$J106="Completada",2,1),""))</f>
        <v/>
      </c>
      <c r="P107" s="36" t="str">
        <f>IF(OR($D107="",$E107=""),"",IF(AND($D107&lt;=P$7+6,$E107&gt;=P$7),IF('Plan de Tareas'!$J106="Completada",2,1),""))</f>
        <v/>
      </c>
      <c r="Q107" s="36" t="str">
        <f>IF(OR($D107="",$E107=""),"",IF(AND($D107&lt;=Q$7+6,$E107&gt;=Q$7),IF('Plan de Tareas'!$J106="Completada",2,1),""))</f>
        <v/>
      </c>
      <c r="R107" s="36" t="str">
        <f>IF(OR($D107="",$E107=""),"",IF(AND($D107&lt;=R$7+6,$E107&gt;=R$7),IF('Plan de Tareas'!$J106="Completada",2,1),""))</f>
        <v/>
      </c>
      <c r="S107" s="36" t="str">
        <f>IF(OR($D107="",$E107=""),"",IF(AND($D107&lt;=S$7+6,$E107&gt;=S$7),IF('Plan de Tareas'!$J106="Completada",2,1),""))</f>
        <v/>
      </c>
      <c r="T107" s="36" t="str">
        <f>IF(OR($D107="",$E107=""),"",IF(AND($D107&lt;=T$7+6,$E107&gt;=T$7),IF('Plan de Tareas'!$J106="Completada",2,1),""))</f>
        <v/>
      </c>
      <c r="U107" s="36" t="str">
        <f>IF(OR($D107="",$E107=""),"",IF(AND($D107&lt;=U$7+6,$E107&gt;=U$7),IF('Plan de Tareas'!$J106="Completada",2,1),""))</f>
        <v/>
      </c>
      <c r="V107" s="36" t="str">
        <f>IF(OR($D107="",$E107=""),"",IF(AND($D107&lt;=V$7+6,$E107&gt;=V$7),IF('Plan de Tareas'!$J106="Completada",2,1),""))</f>
        <v/>
      </c>
      <c r="W107" s="36" t="str">
        <f>IF(OR($D107="",$E107=""),"",IF(AND($D107&lt;=W$7+6,$E107&gt;=W$7),IF('Plan de Tareas'!$J106="Completada",2,1),""))</f>
        <v/>
      </c>
      <c r="X107" s="36" t="str">
        <f>IF(OR($D107="",$E107=""),"",IF(AND($D107&lt;=X$7+6,$E107&gt;=X$7),IF('Plan de Tareas'!$J106="Completada",2,1),""))</f>
        <v/>
      </c>
      <c r="Y107" s="36" t="str">
        <f>IF(OR($D107="",$E107=""),"",IF(AND($D107&lt;=Y$7+6,$E107&gt;=Y$7),IF('Plan de Tareas'!$J106="Completada",2,1),""))</f>
        <v/>
      </c>
      <c r="Z107" s="36" t="str">
        <f>IF(OR($D107="",$E107=""),"",IF(AND($D107&lt;=Z$7+6,$E107&gt;=Z$7),IF('Plan de Tareas'!$J106="Completada",2,1),""))</f>
        <v/>
      </c>
      <c r="AA107" s="36" t="str">
        <f>IF(OR($D107="",$E107=""),"",IF(AND($D107&lt;=AA$7+6,$E107&gt;=AA$7),IF('Plan de Tareas'!$J106="Completada",2,1),""))</f>
        <v/>
      </c>
      <c r="AB107" s="36" t="str">
        <f>IF(OR($D107="",$E107=""),"",IF(AND($D107&lt;=AB$7+6,$E107&gt;=AB$7),IF('Plan de Tareas'!$J106="Completada",2,1),""))</f>
        <v/>
      </c>
      <c r="AC107" s="36" t="str">
        <f>IF(OR($D107="",$E107=""),"",IF(AND($D107&lt;=AC$7+6,$E107&gt;=AC$7),IF('Plan de Tareas'!$J106="Completada",2,1),""))</f>
        <v/>
      </c>
      <c r="AD107" s="36" t="str">
        <f>IF(OR($D107="",$E107=""),"",IF(AND($D107&lt;=AD$7+6,$E107&gt;=AD$7),IF('Plan de Tareas'!$J106="Completada",2,1),""))</f>
        <v/>
      </c>
      <c r="AE107" s="36" t="str">
        <f>IF(OR($D107="",$E107=""),"",IF(AND($D107&lt;=AE$7+6,$E107&gt;=AE$7),IF('Plan de Tareas'!$J106="Completada",2,1),""))</f>
        <v/>
      </c>
    </row>
    <row r="108" spans="1:31" ht="15" customHeight="1" x14ac:dyDescent="0.3">
      <c r="A108" s="34" t="str">
        <f>IF('Plan de Tareas'!$C107="","",'Plan de Tareas'!$A107)</f>
        <v/>
      </c>
      <c r="B108" s="20" t="str">
        <f>IF('Plan de Tareas'!$C107="","",'Plan de Tareas'!$C107)</f>
        <v/>
      </c>
      <c r="C108" s="20" t="str">
        <f>IF('Plan de Tareas'!$C107="","",'Plan de Tareas'!$D107)</f>
        <v/>
      </c>
      <c r="D108" s="35" t="str">
        <f>IF('Plan de Tareas'!$F107="","",'Plan de Tareas'!$F107)</f>
        <v/>
      </c>
      <c r="E108" s="35" t="str">
        <f>IF('Plan de Tareas'!$G107="","",'Plan de Tareas'!$G107)</f>
        <v/>
      </c>
      <c r="F108" s="36" t="str">
        <f>IF(OR($D108="",$E108=""),"",IF(AND($D108&lt;=F$7+6,$E108&gt;=F$7),IF('Plan de Tareas'!$J107="Completada",2,1),""))</f>
        <v/>
      </c>
      <c r="G108" s="36" t="str">
        <f>IF(OR($D108="",$E108=""),"",IF(AND($D108&lt;=G$7+6,$E108&gt;=G$7),IF('Plan de Tareas'!$J107="Completada",2,1),""))</f>
        <v/>
      </c>
      <c r="H108" s="36" t="str">
        <f>IF(OR($D108="",$E108=""),"",IF(AND($D108&lt;=H$7+6,$E108&gt;=H$7),IF('Plan de Tareas'!$J107="Completada",2,1),""))</f>
        <v/>
      </c>
      <c r="I108" s="36" t="str">
        <f>IF(OR($D108="",$E108=""),"",IF(AND($D108&lt;=I$7+6,$E108&gt;=I$7),IF('Plan de Tareas'!$J107="Completada",2,1),""))</f>
        <v/>
      </c>
      <c r="J108" s="36" t="str">
        <f>IF(OR($D108="",$E108=""),"",IF(AND($D108&lt;=J$7+6,$E108&gt;=J$7),IF('Plan de Tareas'!$J107="Completada",2,1),""))</f>
        <v/>
      </c>
      <c r="K108" s="36" t="str">
        <f>IF(OR($D108="",$E108=""),"",IF(AND($D108&lt;=K$7+6,$E108&gt;=K$7),IF('Plan de Tareas'!$J107="Completada",2,1),""))</f>
        <v/>
      </c>
      <c r="L108" s="36" t="str">
        <f>IF(OR($D108="",$E108=""),"",IF(AND($D108&lt;=L$7+6,$E108&gt;=L$7),IF('Plan de Tareas'!$J107="Completada",2,1),""))</f>
        <v/>
      </c>
      <c r="M108" s="36" t="str">
        <f>IF(OR($D108="",$E108=""),"",IF(AND($D108&lt;=M$7+6,$E108&gt;=M$7),IF('Plan de Tareas'!$J107="Completada",2,1),""))</f>
        <v/>
      </c>
      <c r="N108" s="36" t="str">
        <f>IF(OR($D108="",$E108=""),"",IF(AND($D108&lt;=N$7+6,$E108&gt;=N$7),IF('Plan de Tareas'!$J107="Completada",2,1),""))</f>
        <v/>
      </c>
      <c r="O108" s="36" t="str">
        <f>IF(OR($D108="",$E108=""),"",IF(AND($D108&lt;=O$7+6,$E108&gt;=O$7),IF('Plan de Tareas'!$J107="Completada",2,1),""))</f>
        <v/>
      </c>
      <c r="P108" s="36" t="str">
        <f>IF(OR($D108="",$E108=""),"",IF(AND($D108&lt;=P$7+6,$E108&gt;=P$7),IF('Plan de Tareas'!$J107="Completada",2,1),""))</f>
        <v/>
      </c>
      <c r="Q108" s="36" t="str">
        <f>IF(OR($D108="",$E108=""),"",IF(AND($D108&lt;=Q$7+6,$E108&gt;=Q$7),IF('Plan de Tareas'!$J107="Completada",2,1),""))</f>
        <v/>
      </c>
      <c r="R108" s="36" t="str">
        <f>IF(OR($D108="",$E108=""),"",IF(AND($D108&lt;=R$7+6,$E108&gt;=R$7),IF('Plan de Tareas'!$J107="Completada",2,1),""))</f>
        <v/>
      </c>
      <c r="S108" s="36" t="str">
        <f>IF(OR($D108="",$E108=""),"",IF(AND($D108&lt;=S$7+6,$E108&gt;=S$7),IF('Plan de Tareas'!$J107="Completada",2,1),""))</f>
        <v/>
      </c>
      <c r="T108" s="36" t="str">
        <f>IF(OR($D108="",$E108=""),"",IF(AND($D108&lt;=T$7+6,$E108&gt;=T$7),IF('Plan de Tareas'!$J107="Completada",2,1),""))</f>
        <v/>
      </c>
      <c r="U108" s="36" t="str">
        <f>IF(OR($D108="",$E108=""),"",IF(AND($D108&lt;=U$7+6,$E108&gt;=U$7),IF('Plan de Tareas'!$J107="Completada",2,1),""))</f>
        <v/>
      </c>
      <c r="V108" s="36" t="str">
        <f>IF(OR($D108="",$E108=""),"",IF(AND($D108&lt;=V$7+6,$E108&gt;=V$7),IF('Plan de Tareas'!$J107="Completada",2,1),""))</f>
        <v/>
      </c>
      <c r="W108" s="36" t="str">
        <f>IF(OR($D108="",$E108=""),"",IF(AND($D108&lt;=W$7+6,$E108&gt;=W$7),IF('Plan de Tareas'!$J107="Completada",2,1),""))</f>
        <v/>
      </c>
      <c r="X108" s="36" t="str">
        <f>IF(OR($D108="",$E108=""),"",IF(AND($D108&lt;=X$7+6,$E108&gt;=X$7),IF('Plan de Tareas'!$J107="Completada",2,1),""))</f>
        <v/>
      </c>
      <c r="Y108" s="36" t="str">
        <f>IF(OR($D108="",$E108=""),"",IF(AND($D108&lt;=Y$7+6,$E108&gt;=Y$7),IF('Plan de Tareas'!$J107="Completada",2,1),""))</f>
        <v/>
      </c>
      <c r="Z108" s="36" t="str">
        <f>IF(OR($D108="",$E108=""),"",IF(AND($D108&lt;=Z$7+6,$E108&gt;=Z$7),IF('Plan de Tareas'!$J107="Completada",2,1),""))</f>
        <v/>
      </c>
      <c r="AA108" s="36" t="str">
        <f>IF(OR($D108="",$E108=""),"",IF(AND($D108&lt;=AA$7+6,$E108&gt;=AA$7),IF('Plan de Tareas'!$J107="Completada",2,1),""))</f>
        <v/>
      </c>
      <c r="AB108" s="36" t="str">
        <f>IF(OR($D108="",$E108=""),"",IF(AND($D108&lt;=AB$7+6,$E108&gt;=AB$7),IF('Plan de Tareas'!$J107="Completada",2,1),""))</f>
        <v/>
      </c>
      <c r="AC108" s="36" t="str">
        <f>IF(OR($D108="",$E108=""),"",IF(AND($D108&lt;=AC$7+6,$E108&gt;=AC$7),IF('Plan de Tareas'!$J107="Completada",2,1),""))</f>
        <v/>
      </c>
      <c r="AD108" s="36" t="str">
        <f>IF(OR($D108="",$E108=""),"",IF(AND($D108&lt;=AD$7+6,$E108&gt;=AD$7),IF('Plan de Tareas'!$J107="Completada",2,1),""))</f>
        <v/>
      </c>
      <c r="AE108" s="36" t="str">
        <f>IF(OR($D108="",$E108=""),"",IF(AND($D108&lt;=AE$7+6,$E108&gt;=AE$7),IF('Plan de Tareas'!$J107="Completada",2,1),""))</f>
        <v/>
      </c>
    </row>
    <row r="109" spans="1:31" ht="15" customHeight="1" x14ac:dyDescent="0.3">
      <c r="A109" s="37" t="str">
        <f>IF('Plan de Tareas'!$C108="","",'Plan de Tareas'!$A108)</f>
        <v/>
      </c>
      <c r="B109" s="26" t="str">
        <f>IF('Plan de Tareas'!$C108="","",'Plan de Tareas'!$C108)</f>
        <v/>
      </c>
      <c r="C109" s="26" t="str">
        <f>IF('Plan de Tareas'!$C108="","",'Plan de Tareas'!$D108)</f>
        <v/>
      </c>
      <c r="D109" s="38" t="str">
        <f>IF('Plan de Tareas'!$F108="","",'Plan de Tareas'!$F108)</f>
        <v/>
      </c>
      <c r="E109" s="38" t="str">
        <f>IF('Plan de Tareas'!$G108="","",'Plan de Tareas'!$G108)</f>
        <v/>
      </c>
      <c r="F109" s="36" t="str">
        <f>IF(OR($D109="",$E109=""),"",IF(AND($D109&lt;=F$7+6,$E109&gt;=F$7),IF('Plan de Tareas'!$J108="Completada",2,1),""))</f>
        <v/>
      </c>
      <c r="G109" s="36" t="str">
        <f>IF(OR($D109="",$E109=""),"",IF(AND($D109&lt;=G$7+6,$E109&gt;=G$7),IF('Plan de Tareas'!$J108="Completada",2,1),""))</f>
        <v/>
      </c>
      <c r="H109" s="36" t="str">
        <f>IF(OR($D109="",$E109=""),"",IF(AND($D109&lt;=H$7+6,$E109&gt;=H$7),IF('Plan de Tareas'!$J108="Completada",2,1),""))</f>
        <v/>
      </c>
      <c r="I109" s="36" t="str">
        <f>IF(OR($D109="",$E109=""),"",IF(AND($D109&lt;=I$7+6,$E109&gt;=I$7),IF('Plan de Tareas'!$J108="Completada",2,1),""))</f>
        <v/>
      </c>
      <c r="J109" s="36" t="str">
        <f>IF(OR($D109="",$E109=""),"",IF(AND($D109&lt;=J$7+6,$E109&gt;=J$7),IF('Plan de Tareas'!$J108="Completada",2,1),""))</f>
        <v/>
      </c>
      <c r="K109" s="36" t="str">
        <f>IF(OR($D109="",$E109=""),"",IF(AND($D109&lt;=K$7+6,$E109&gt;=K$7),IF('Plan de Tareas'!$J108="Completada",2,1),""))</f>
        <v/>
      </c>
      <c r="L109" s="36" t="str">
        <f>IF(OR($D109="",$E109=""),"",IF(AND($D109&lt;=L$7+6,$E109&gt;=L$7),IF('Plan de Tareas'!$J108="Completada",2,1),""))</f>
        <v/>
      </c>
      <c r="M109" s="36" t="str">
        <f>IF(OR($D109="",$E109=""),"",IF(AND($D109&lt;=M$7+6,$E109&gt;=M$7),IF('Plan de Tareas'!$J108="Completada",2,1),""))</f>
        <v/>
      </c>
      <c r="N109" s="36" t="str">
        <f>IF(OR($D109="",$E109=""),"",IF(AND($D109&lt;=N$7+6,$E109&gt;=N$7),IF('Plan de Tareas'!$J108="Completada",2,1),""))</f>
        <v/>
      </c>
      <c r="O109" s="36" t="str">
        <f>IF(OR($D109="",$E109=""),"",IF(AND($D109&lt;=O$7+6,$E109&gt;=O$7),IF('Plan de Tareas'!$J108="Completada",2,1),""))</f>
        <v/>
      </c>
      <c r="P109" s="36" t="str">
        <f>IF(OR($D109="",$E109=""),"",IF(AND($D109&lt;=P$7+6,$E109&gt;=P$7),IF('Plan de Tareas'!$J108="Completada",2,1),""))</f>
        <v/>
      </c>
      <c r="Q109" s="36" t="str">
        <f>IF(OR($D109="",$E109=""),"",IF(AND($D109&lt;=Q$7+6,$E109&gt;=Q$7),IF('Plan de Tareas'!$J108="Completada",2,1),""))</f>
        <v/>
      </c>
      <c r="R109" s="36" t="str">
        <f>IF(OR($D109="",$E109=""),"",IF(AND($D109&lt;=R$7+6,$E109&gt;=R$7),IF('Plan de Tareas'!$J108="Completada",2,1),""))</f>
        <v/>
      </c>
      <c r="S109" s="36" t="str">
        <f>IF(OR($D109="",$E109=""),"",IF(AND($D109&lt;=S$7+6,$E109&gt;=S$7),IF('Plan de Tareas'!$J108="Completada",2,1),""))</f>
        <v/>
      </c>
      <c r="T109" s="36" t="str">
        <f>IF(OR($D109="",$E109=""),"",IF(AND($D109&lt;=T$7+6,$E109&gt;=T$7),IF('Plan de Tareas'!$J108="Completada",2,1),""))</f>
        <v/>
      </c>
      <c r="U109" s="36" t="str">
        <f>IF(OR($D109="",$E109=""),"",IF(AND($D109&lt;=U$7+6,$E109&gt;=U$7),IF('Plan de Tareas'!$J108="Completada",2,1),""))</f>
        <v/>
      </c>
      <c r="V109" s="36" t="str">
        <f>IF(OR($D109="",$E109=""),"",IF(AND($D109&lt;=V$7+6,$E109&gt;=V$7),IF('Plan de Tareas'!$J108="Completada",2,1),""))</f>
        <v/>
      </c>
      <c r="W109" s="36" t="str">
        <f>IF(OR($D109="",$E109=""),"",IF(AND($D109&lt;=W$7+6,$E109&gt;=W$7),IF('Plan de Tareas'!$J108="Completada",2,1),""))</f>
        <v/>
      </c>
      <c r="X109" s="36" t="str">
        <f>IF(OR($D109="",$E109=""),"",IF(AND($D109&lt;=X$7+6,$E109&gt;=X$7),IF('Plan de Tareas'!$J108="Completada",2,1),""))</f>
        <v/>
      </c>
      <c r="Y109" s="36" t="str">
        <f>IF(OR($D109="",$E109=""),"",IF(AND($D109&lt;=Y$7+6,$E109&gt;=Y$7),IF('Plan de Tareas'!$J108="Completada",2,1),""))</f>
        <v/>
      </c>
      <c r="Z109" s="36" t="str">
        <f>IF(OR($D109="",$E109=""),"",IF(AND($D109&lt;=Z$7+6,$E109&gt;=Z$7),IF('Plan de Tareas'!$J108="Completada",2,1),""))</f>
        <v/>
      </c>
      <c r="AA109" s="36" t="str">
        <f>IF(OR($D109="",$E109=""),"",IF(AND($D109&lt;=AA$7+6,$E109&gt;=AA$7),IF('Plan de Tareas'!$J108="Completada",2,1),""))</f>
        <v/>
      </c>
      <c r="AB109" s="36" t="str">
        <f>IF(OR($D109="",$E109=""),"",IF(AND($D109&lt;=AB$7+6,$E109&gt;=AB$7),IF('Plan de Tareas'!$J108="Completada",2,1),""))</f>
        <v/>
      </c>
      <c r="AC109" s="36" t="str">
        <f>IF(OR($D109="",$E109=""),"",IF(AND($D109&lt;=AC$7+6,$E109&gt;=AC$7),IF('Plan de Tareas'!$J108="Completada",2,1),""))</f>
        <v/>
      </c>
      <c r="AD109" s="36" t="str">
        <f>IF(OR($D109="",$E109=""),"",IF(AND($D109&lt;=AD$7+6,$E109&gt;=AD$7),IF('Plan de Tareas'!$J108="Completada",2,1),""))</f>
        <v/>
      </c>
      <c r="AE109" s="36" t="str">
        <f>IF(OR($D109="",$E109=""),"",IF(AND($D109&lt;=AE$7+6,$E109&gt;=AE$7),IF('Plan de Tareas'!$J108="Completada",2,1),""))</f>
        <v/>
      </c>
    </row>
    <row r="110" spans="1:31" ht="15" customHeight="1" x14ac:dyDescent="0.3">
      <c r="A110" s="34" t="str">
        <f>IF('Plan de Tareas'!$C109="","",'Plan de Tareas'!$A109)</f>
        <v/>
      </c>
      <c r="B110" s="20" t="str">
        <f>IF('Plan de Tareas'!$C109="","",'Plan de Tareas'!$C109)</f>
        <v/>
      </c>
      <c r="C110" s="20" t="str">
        <f>IF('Plan de Tareas'!$C109="","",'Plan de Tareas'!$D109)</f>
        <v/>
      </c>
      <c r="D110" s="35" t="str">
        <f>IF('Plan de Tareas'!$F109="","",'Plan de Tareas'!$F109)</f>
        <v/>
      </c>
      <c r="E110" s="35" t="str">
        <f>IF('Plan de Tareas'!$G109="","",'Plan de Tareas'!$G109)</f>
        <v/>
      </c>
      <c r="F110" s="36" t="str">
        <f>IF(OR($D110="",$E110=""),"",IF(AND($D110&lt;=F$7+6,$E110&gt;=F$7),IF('Plan de Tareas'!$J109="Completada",2,1),""))</f>
        <v/>
      </c>
      <c r="G110" s="36" t="str">
        <f>IF(OR($D110="",$E110=""),"",IF(AND($D110&lt;=G$7+6,$E110&gt;=G$7),IF('Plan de Tareas'!$J109="Completada",2,1),""))</f>
        <v/>
      </c>
      <c r="H110" s="36" t="str">
        <f>IF(OR($D110="",$E110=""),"",IF(AND($D110&lt;=H$7+6,$E110&gt;=H$7),IF('Plan de Tareas'!$J109="Completada",2,1),""))</f>
        <v/>
      </c>
      <c r="I110" s="36" t="str">
        <f>IF(OR($D110="",$E110=""),"",IF(AND($D110&lt;=I$7+6,$E110&gt;=I$7),IF('Plan de Tareas'!$J109="Completada",2,1),""))</f>
        <v/>
      </c>
      <c r="J110" s="36" t="str">
        <f>IF(OR($D110="",$E110=""),"",IF(AND($D110&lt;=J$7+6,$E110&gt;=J$7),IF('Plan de Tareas'!$J109="Completada",2,1),""))</f>
        <v/>
      </c>
      <c r="K110" s="36" t="str">
        <f>IF(OR($D110="",$E110=""),"",IF(AND($D110&lt;=K$7+6,$E110&gt;=K$7),IF('Plan de Tareas'!$J109="Completada",2,1),""))</f>
        <v/>
      </c>
      <c r="L110" s="36" t="str">
        <f>IF(OR($D110="",$E110=""),"",IF(AND($D110&lt;=L$7+6,$E110&gt;=L$7),IF('Plan de Tareas'!$J109="Completada",2,1),""))</f>
        <v/>
      </c>
      <c r="M110" s="36" t="str">
        <f>IF(OR($D110="",$E110=""),"",IF(AND($D110&lt;=M$7+6,$E110&gt;=M$7),IF('Plan de Tareas'!$J109="Completada",2,1),""))</f>
        <v/>
      </c>
      <c r="N110" s="36" t="str">
        <f>IF(OR($D110="",$E110=""),"",IF(AND($D110&lt;=N$7+6,$E110&gt;=N$7),IF('Plan de Tareas'!$J109="Completada",2,1),""))</f>
        <v/>
      </c>
      <c r="O110" s="36" t="str">
        <f>IF(OR($D110="",$E110=""),"",IF(AND($D110&lt;=O$7+6,$E110&gt;=O$7),IF('Plan de Tareas'!$J109="Completada",2,1),""))</f>
        <v/>
      </c>
      <c r="P110" s="36" t="str">
        <f>IF(OR($D110="",$E110=""),"",IF(AND($D110&lt;=P$7+6,$E110&gt;=P$7),IF('Plan de Tareas'!$J109="Completada",2,1),""))</f>
        <v/>
      </c>
      <c r="Q110" s="36" t="str">
        <f>IF(OR($D110="",$E110=""),"",IF(AND($D110&lt;=Q$7+6,$E110&gt;=Q$7),IF('Plan de Tareas'!$J109="Completada",2,1),""))</f>
        <v/>
      </c>
      <c r="R110" s="36" t="str">
        <f>IF(OR($D110="",$E110=""),"",IF(AND($D110&lt;=R$7+6,$E110&gt;=R$7),IF('Plan de Tareas'!$J109="Completada",2,1),""))</f>
        <v/>
      </c>
      <c r="S110" s="36" t="str">
        <f>IF(OR($D110="",$E110=""),"",IF(AND($D110&lt;=S$7+6,$E110&gt;=S$7),IF('Plan de Tareas'!$J109="Completada",2,1),""))</f>
        <v/>
      </c>
      <c r="T110" s="36" t="str">
        <f>IF(OR($D110="",$E110=""),"",IF(AND($D110&lt;=T$7+6,$E110&gt;=T$7),IF('Plan de Tareas'!$J109="Completada",2,1),""))</f>
        <v/>
      </c>
      <c r="U110" s="36" t="str">
        <f>IF(OR($D110="",$E110=""),"",IF(AND($D110&lt;=U$7+6,$E110&gt;=U$7),IF('Plan de Tareas'!$J109="Completada",2,1),""))</f>
        <v/>
      </c>
      <c r="V110" s="36" t="str">
        <f>IF(OR($D110="",$E110=""),"",IF(AND($D110&lt;=V$7+6,$E110&gt;=V$7),IF('Plan de Tareas'!$J109="Completada",2,1),""))</f>
        <v/>
      </c>
      <c r="W110" s="36" t="str">
        <f>IF(OR($D110="",$E110=""),"",IF(AND($D110&lt;=W$7+6,$E110&gt;=W$7),IF('Plan de Tareas'!$J109="Completada",2,1),""))</f>
        <v/>
      </c>
      <c r="X110" s="36" t="str">
        <f>IF(OR($D110="",$E110=""),"",IF(AND($D110&lt;=X$7+6,$E110&gt;=X$7),IF('Plan de Tareas'!$J109="Completada",2,1),""))</f>
        <v/>
      </c>
      <c r="Y110" s="36" t="str">
        <f>IF(OR($D110="",$E110=""),"",IF(AND($D110&lt;=Y$7+6,$E110&gt;=Y$7),IF('Plan de Tareas'!$J109="Completada",2,1),""))</f>
        <v/>
      </c>
      <c r="Z110" s="36" t="str">
        <f>IF(OR($D110="",$E110=""),"",IF(AND($D110&lt;=Z$7+6,$E110&gt;=Z$7),IF('Plan de Tareas'!$J109="Completada",2,1),""))</f>
        <v/>
      </c>
      <c r="AA110" s="36" t="str">
        <f>IF(OR($D110="",$E110=""),"",IF(AND($D110&lt;=AA$7+6,$E110&gt;=AA$7),IF('Plan de Tareas'!$J109="Completada",2,1),""))</f>
        <v/>
      </c>
      <c r="AB110" s="36" t="str">
        <f>IF(OR($D110="",$E110=""),"",IF(AND($D110&lt;=AB$7+6,$E110&gt;=AB$7),IF('Plan de Tareas'!$J109="Completada",2,1),""))</f>
        <v/>
      </c>
      <c r="AC110" s="36" t="str">
        <f>IF(OR($D110="",$E110=""),"",IF(AND($D110&lt;=AC$7+6,$E110&gt;=AC$7),IF('Plan de Tareas'!$J109="Completada",2,1),""))</f>
        <v/>
      </c>
      <c r="AD110" s="36" t="str">
        <f>IF(OR($D110="",$E110=""),"",IF(AND($D110&lt;=AD$7+6,$E110&gt;=AD$7),IF('Plan de Tareas'!$J109="Completada",2,1),""))</f>
        <v/>
      </c>
      <c r="AE110" s="36" t="str">
        <f>IF(OR($D110="",$E110=""),"",IF(AND($D110&lt;=AE$7+6,$E110&gt;=AE$7),IF('Plan de Tareas'!$J109="Completada",2,1),""))</f>
        <v/>
      </c>
    </row>
    <row r="111" spans="1:31" ht="15" customHeight="1" x14ac:dyDescent="0.3">
      <c r="A111" s="37" t="str">
        <f>IF('Plan de Tareas'!$C110="","",'Plan de Tareas'!$A110)</f>
        <v/>
      </c>
      <c r="B111" s="26" t="str">
        <f>IF('Plan de Tareas'!$C110="","",'Plan de Tareas'!$C110)</f>
        <v/>
      </c>
      <c r="C111" s="26" t="str">
        <f>IF('Plan de Tareas'!$C110="","",'Plan de Tareas'!$D110)</f>
        <v/>
      </c>
      <c r="D111" s="38" t="str">
        <f>IF('Plan de Tareas'!$F110="","",'Plan de Tareas'!$F110)</f>
        <v/>
      </c>
      <c r="E111" s="38" t="str">
        <f>IF('Plan de Tareas'!$G110="","",'Plan de Tareas'!$G110)</f>
        <v/>
      </c>
      <c r="F111" s="36" t="str">
        <f>IF(OR($D111="",$E111=""),"",IF(AND($D111&lt;=F$7+6,$E111&gt;=F$7),IF('Plan de Tareas'!$J110="Completada",2,1),""))</f>
        <v/>
      </c>
      <c r="G111" s="36" t="str">
        <f>IF(OR($D111="",$E111=""),"",IF(AND($D111&lt;=G$7+6,$E111&gt;=G$7),IF('Plan de Tareas'!$J110="Completada",2,1),""))</f>
        <v/>
      </c>
      <c r="H111" s="36" t="str">
        <f>IF(OR($D111="",$E111=""),"",IF(AND($D111&lt;=H$7+6,$E111&gt;=H$7),IF('Plan de Tareas'!$J110="Completada",2,1),""))</f>
        <v/>
      </c>
      <c r="I111" s="36" t="str">
        <f>IF(OR($D111="",$E111=""),"",IF(AND($D111&lt;=I$7+6,$E111&gt;=I$7),IF('Plan de Tareas'!$J110="Completada",2,1),""))</f>
        <v/>
      </c>
      <c r="J111" s="36" t="str">
        <f>IF(OR($D111="",$E111=""),"",IF(AND($D111&lt;=J$7+6,$E111&gt;=J$7),IF('Plan de Tareas'!$J110="Completada",2,1),""))</f>
        <v/>
      </c>
      <c r="K111" s="36" t="str">
        <f>IF(OR($D111="",$E111=""),"",IF(AND($D111&lt;=K$7+6,$E111&gt;=K$7),IF('Plan de Tareas'!$J110="Completada",2,1),""))</f>
        <v/>
      </c>
      <c r="L111" s="36" t="str">
        <f>IF(OR($D111="",$E111=""),"",IF(AND($D111&lt;=L$7+6,$E111&gt;=L$7),IF('Plan de Tareas'!$J110="Completada",2,1),""))</f>
        <v/>
      </c>
      <c r="M111" s="36" t="str">
        <f>IF(OR($D111="",$E111=""),"",IF(AND($D111&lt;=M$7+6,$E111&gt;=M$7),IF('Plan de Tareas'!$J110="Completada",2,1),""))</f>
        <v/>
      </c>
      <c r="N111" s="36" t="str">
        <f>IF(OR($D111="",$E111=""),"",IF(AND($D111&lt;=N$7+6,$E111&gt;=N$7),IF('Plan de Tareas'!$J110="Completada",2,1),""))</f>
        <v/>
      </c>
      <c r="O111" s="36" t="str">
        <f>IF(OR($D111="",$E111=""),"",IF(AND($D111&lt;=O$7+6,$E111&gt;=O$7),IF('Plan de Tareas'!$J110="Completada",2,1),""))</f>
        <v/>
      </c>
      <c r="P111" s="36" t="str">
        <f>IF(OR($D111="",$E111=""),"",IF(AND($D111&lt;=P$7+6,$E111&gt;=P$7),IF('Plan de Tareas'!$J110="Completada",2,1),""))</f>
        <v/>
      </c>
      <c r="Q111" s="36" t="str">
        <f>IF(OR($D111="",$E111=""),"",IF(AND($D111&lt;=Q$7+6,$E111&gt;=Q$7),IF('Plan de Tareas'!$J110="Completada",2,1),""))</f>
        <v/>
      </c>
      <c r="R111" s="36" t="str">
        <f>IF(OR($D111="",$E111=""),"",IF(AND($D111&lt;=R$7+6,$E111&gt;=R$7),IF('Plan de Tareas'!$J110="Completada",2,1),""))</f>
        <v/>
      </c>
      <c r="S111" s="36" t="str">
        <f>IF(OR($D111="",$E111=""),"",IF(AND($D111&lt;=S$7+6,$E111&gt;=S$7),IF('Plan de Tareas'!$J110="Completada",2,1),""))</f>
        <v/>
      </c>
      <c r="T111" s="36" t="str">
        <f>IF(OR($D111="",$E111=""),"",IF(AND($D111&lt;=T$7+6,$E111&gt;=T$7),IF('Plan de Tareas'!$J110="Completada",2,1),""))</f>
        <v/>
      </c>
      <c r="U111" s="36" t="str">
        <f>IF(OR($D111="",$E111=""),"",IF(AND($D111&lt;=U$7+6,$E111&gt;=U$7),IF('Plan de Tareas'!$J110="Completada",2,1),""))</f>
        <v/>
      </c>
      <c r="V111" s="36" t="str">
        <f>IF(OR($D111="",$E111=""),"",IF(AND($D111&lt;=V$7+6,$E111&gt;=V$7),IF('Plan de Tareas'!$J110="Completada",2,1),""))</f>
        <v/>
      </c>
      <c r="W111" s="36" t="str">
        <f>IF(OR($D111="",$E111=""),"",IF(AND($D111&lt;=W$7+6,$E111&gt;=W$7),IF('Plan de Tareas'!$J110="Completada",2,1),""))</f>
        <v/>
      </c>
      <c r="X111" s="36" t="str">
        <f>IF(OR($D111="",$E111=""),"",IF(AND($D111&lt;=X$7+6,$E111&gt;=X$7),IF('Plan de Tareas'!$J110="Completada",2,1),""))</f>
        <v/>
      </c>
      <c r="Y111" s="36" t="str">
        <f>IF(OR($D111="",$E111=""),"",IF(AND($D111&lt;=Y$7+6,$E111&gt;=Y$7),IF('Plan de Tareas'!$J110="Completada",2,1),""))</f>
        <v/>
      </c>
      <c r="Z111" s="36" t="str">
        <f>IF(OR($D111="",$E111=""),"",IF(AND($D111&lt;=Z$7+6,$E111&gt;=Z$7),IF('Plan de Tareas'!$J110="Completada",2,1),""))</f>
        <v/>
      </c>
      <c r="AA111" s="36" t="str">
        <f>IF(OR($D111="",$E111=""),"",IF(AND($D111&lt;=AA$7+6,$E111&gt;=AA$7),IF('Plan de Tareas'!$J110="Completada",2,1),""))</f>
        <v/>
      </c>
      <c r="AB111" s="36" t="str">
        <f>IF(OR($D111="",$E111=""),"",IF(AND($D111&lt;=AB$7+6,$E111&gt;=AB$7),IF('Plan de Tareas'!$J110="Completada",2,1),""))</f>
        <v/>
      </c>
      <c r="AC111" s="36" t="str">
        <f>IF(OR($D111="",$E111=""),"",IF(AND($D111&lt;=AC$7+6,$E111&gt;=AC$7),IF('Plan de Tareas'!$J110="Completada",2,1),""))</f>
        <v/>
      </c>
      <c r="AD111" s="36" t="str">
        <f>IF(OR($D111="",$E111=""),"",IF(AND($D111&lt;=AD$7+6,$E111&gt;=AD$7),IF('Plan de Tareas'!$J110="Completada",2,1),""))</f>
        <v/>
      </c>
      <c r="AE111" s="36" t="str">
        <f>IF(OR($D111="",$E111=""),"",IF(AND($D111&lt;=AE$7+6,$E111&gt;=AE$7),IF('Plan de Tareas'!$J110="Completada",2,1),""))</f>
        <v/>
      </c>
    </row>
    <row r="112" spans="1:31" ht="15" customHeight="1" x14ac:dyDescent="0.3">
      <c r="A112" s="34" t="str">
        <f>IF('Plan de Tareas'!$C111="","",'Plan de Tareas'!$A111)</f>
        <v/>
      </c>
      <c r="B112" s="20" t="str">
        <f>IF('Plan de Tareas'!$C111="","",'Plan de Tareas'!$C111)</f>
        <v/>
      </c>
      <c r="C112" s="20" t="str">
        <f>IF('Plan de Tareas'!$C111="","",'Plan de Tareas'!$D111)</f>
        <v/>
      </c>
      <c r="D112" s="35" t="str">
        <f>IF('Plan de Tareas'!$F111="","",'Plan de Tareas'!$F111)</f>
        <v/>
      </c>
      <c r="E112" s="35" t="str">
        <f>IF('Plan de Tareas'!$G111="","",'Plan de Tareas'!$G111)</f>
        <v/>
      </c>
      <c r="F112" s="36" t="str">
        <f>IF(OR($D112="",$E112=""),"",IF(AND($D112&lt;=F$7+6,$E112&gt;=F$7),IF('Plan de Tareas'!$J111="Completada",2,1),""))</f>
        <v/>
      </c>
      <c r="G112" s="36" t="str">
        <f>IF(OR($D112="",$E112=""),"",IF(AND($D112&lt;=G$7+6,$E112&gt;=G$7),IF('Plan de Tareas'!$J111="Completada",2,1),""))</f>
        <v/>
      </c>
      <c r="H112" s="36" t="str">
        <f>IF(OR($D112="",$E112=""),"",IF(AND($D112&lt;=H$7+6,$E112&gt;=H$7),IF('Plan de Tareas'!$J111="Completada",2,1),""))</f>
        <v/>
      </c>
      <c r="I112" s="36" t="str">
        <f>IF(OR($D112="",$E112=""),"",IF(AND($D112&lt;=I$7+6,$E112&gt;=I$7),IF('Plan de Tareas'!$J111="Completada",2,1),""))</f>
        <v/>
      </c>
      <c r="J112" s="36" t="str">
        <f>IF(OR($D112="",$E112=""),"",IF(AND($D112&lt;=J$7+6,$E112&gt;=J$7),IF('Plan de Tareas'!$J111="Completada",2,1),""))</f>
        <v/>
      </c>
      <c r="K112" s="36" t="str">
        <f>IF(OR($D112="",$E112=""),"",IF(AND($D112&lt;=K$7+6,$E112&gt;=K$7),IF('Plan de Tareas'!$J111="Completada",2,1),""))</f>
        <v/>
      </c>
      <c r="L112" s="36" t="str">
        <f>IF(OR($D112="",$E112=""),"",IF(AND($D112&lt;=L$7+6,$E112&gt;=L$7),IF('Plan de Tareas'!$J111="Completada",2,1),""))</f>
        <v/>
      </c>
      <c r="M112" s="36" t="str">
        <f>IF(OR($D112="",$E112=""),"",IF(AND($D112&lt;=M$7+6,$E112&gt;=M$7),IF('Plan de Tareas'!$J111="Completada",2,1),""))</f>
        <v/>
      </c>
      <c r="N112" s="36" t="str">
        <f>IF(OR($D112="",$E112=""),"",IF(AND($D112&lt;=N$7+6,$E112&gt;=N$7),IF('Plan de Tareas'!$J111="Completada",2,1),""))</f>
        <v/>
      </c>
      <c r="O112" s="36" t="str">
        <f>IF(OR($D112="",$E112=""),"",IF(AND($D112&lt;=O$7+6,$E112&gt;=O$7),IF('Plan de Tareas'!$J111="Completada",2,1),""))</f>
        <v/>
      </c>
      <c r="P112" s="36" t="str">
        <f>IF(OR($D112="",$E112=""),"",IF(AND($D112&lt;=P$7+6,$E112&gt;=P$7),IF('Plan de Tareas'!$J111="Completada",2,1),""))</f>
        <v/>
      </c>
      <c r="Q112" s="36" t="str">
        <f>IF(OR($D112="",$E112=""),"",IF(AND($D112&lt;=Q$7+6,$E112&gt;=Q$7),IF('Plan de Tareas'!$J111="Completada",2,1),""))</f>
        <v/>
      </c>
      <c r="R112" s="36" t="str">
        <f>IF(OR($D112="",$E112=""),"",IF(AND($D112&lt;=R$7+6,$E112&gt;=R$7),IF('Plan de Tareas'!$J111="Completada",2,1),""))</f>
        <v/>
      </c>
      <c r="S112" s="36" t="str">
        <f>IF(OR($D112="",$E112=""),"",IF(AND($D112&lt;=S$7+6,$E112&gt;=S$7),IF('Plan de Tareas'!$J111="Completada",2,1),""))</f>
        <v/>
      </c>
      <c r="T112" s="36" t="str">
        <f>IF(OR($D112="",$E112=""),"",IF(AND($D112&lt;=T$7+6,$E112&gt;=T$7),IF('Plan de Tareas'!$J111="Completada",2,1),""))</f>
        <v/>
      </c>
      <c r="U112" s="36" t="str">
        <f>IF(OR($D112="",$E112=""),"",IF(AND($D112&lt;=U$7+6,$E112&gt;=U$7),IF('Plan de Tareas'!$J111="Completada",2,1),""))</f>
        <v/>
      </c>
      <c r="V112" s="36" t="str">
        <f>IF(OR($D112="",$E112=""),"",IF(AND($D112&lt;=V$7+6,$E112&gt;=V$7),IF('Plan de Tareas'!$J111="Completada",2,1),""))</f>
        <v/>
      </c>
      <c r="W112" s="36" t="str">
        <f>IF(OR($D112="",$E112=""),"",IF(AND($D112&lt;=W$7+6,$E112&gt;=W$7),IF('Plan de Tareas'!$J111="Completada",2,1),""))</f>
        <v/>
      </c>
      <c r="X112" s="36" t="str">
        <f>IF(OR($D112="",$E112=""),"",IF(AND($D112&lt;=X$7+6,$E112&gt;=X$7),IF('Plan de Tareas'!$J111="Completada",2,1),""))</f>
        <v/>
      </c>
      <c r="Y112" s="36" t="str">
        <f>IF(OR($D112="",$E112=""),"",IF(AND($D112&lt;=Y$7+6,$E112&gt;=Y$7),IF('Plan de Tareas'!$J111="Completada",2,1),""))</f>
        <v/>
      </c>
      <c r="Z112" s="36" t="str">
        <f>IF(OR($D112="",$E112=""),"",IF(AND($D112&lt;=Z$7+6,$E112&gt;=Z$7),IF('Plan de Tareas'!$J111="Completada",2,1),""))</f>
        <v/>
      </c>
      <c r="AA112" s="36" t="str">
        <f>IF(OR($D112="",$E112=""),"",IF(AND($D112&lt;=AA$7+6,$E112&gt;=AA$7),IF('Plan de Tareas'!$J111="Completada",2,1),""))</f>
        <v/>
      </c>
      <c r="AB112" s="36" t="str">
        <f>IF(OR($D112="",$E112=""),"",IF(AND($D112&lt;=AB$7+6,$E112&gt;=AB$7),IF('Plan de Tareas'!$J111="Completada",2,1),""))</f>
        <v/>
      </c>
      <c r="AC112" s="36" t="str">
        <f>IF(OR($D112="",$E112=""),"",IF(AND($D112&lt;=AC$7+6,$E112&gt;=AC$7),IF('Plan de Tareas'!$J111="Completada",2,1),""))</f>
        <v/>
      </c>
      <c r="AD112" s="36" t="str">
        <f>IF(OR($D112="",$E112=""),"",IF(AND($D112&lt;=AD$7+6,$E112&gt;=AD$7),IF('Plan de Tareas'!$J111="Completada",2,1),""))</f>
        <v/>
      </c>
      <c r="AE112" s="36" t="str">
        <f>IF(OR($D112="",$E112=""),"",IF(AND($D112&lt;=AE$7+6,$E112&gt;=AE$7),IF('Plan de Tareas'!$J111="Completada",2,1),""))</f>
        <v/>
      </c>
    </row>
    <row r="113" spans="1:31" ht="15" customHeight="1" x14ac:dyDescent="0.3">
      <c r="A113" s="37" t="str">
        <f>IF('Plan de Tareas'!$C112="","",'Plan de Tareas'!$A112)</f>
        <v/>
      </c>
      <c r="B113" s="26" t="str">
        <f>IF('Plan de Tareas'!$C112="","",'Plan de Tareas'!$C112)</f>
        <v/>
      </c>
      <c r="C113" s="26" t="str">
        <f>IF('Plan de Tareas'!$C112="","",'Plan de Tareas'!$D112)</f>
        <v/>
      </c>
      <c r="D113" s="38" t="str">
        <f>IF('Plan de Tareas'!$F112="","",'Plan de Tareas'!$F112)</f>
        <v/>
      </c>
      <c r="E113" s="38" t="str">
        <f>IF('Plan de Tareas'!$G112="","",'Plan de Tareas'!$G112)</f>
        <v/>
      </c>
      <c r="F113" s="36" t="str">
        <f>IF(OR($D113="",$E113=""),"",IF(AND($D113&lt;=F$7+6,$E113&gt;=F$7),IF('Plan de Tareas'!$J112="Completada",2,1),""))</f>
        <v/>
      </c>
      <c r="G113" s="36" t="str">
        <f>IF(OR($D113="",$E113=""),"",IF(AND($D113&lt;=G$7+6,$E113&gt;=G$7),IF('Plan de Tareas'!$J112="Completada",2,1),""))</f>
        <v/>
      </c>
      <c r="H113" s="36" t="str">
        <f>IF(OR($D113="",$E113=""),"",IF(AND($D113&lt;=H$7+6,$E113&gt;=H$7),IF('Plan de Tareas'!$J112="Completada",2,1),""))</f>
        <v/>
      </c>
      <c r="I113" s="36" t="str">
        <f>IF(OR($D113="",$E113=""),"",IF(AND($D113&lt;=I$7+6,$E113&gt;=I$7),IF('Plan de Tareas'!$J112="Completada",2,1),""))</f>
        <v/>
      </c>
      <c r="J113" s="36" t="str">
        <f>IF(OR($D113="",$E113=""),"",IF(AND($D113&lt;=J$7+6,$E113&gt;=J$7),IF('Plan de Tareas'!$J112="Completada",2,1),""))</f>
        <v/>
      </c>
      <c r="K113" s="36" t="str">
        <f>IF(OR($D113="",$E113=""),"",IF(AND($D113&lt;=K$7+6,$E113&gt;=K$7),IF('Plan de Tareas'!$J112="Completada",2,1),""))</f>
        <v/>
      </c>
      <c r="L113" s="36" t="str">
        <f>IF(OR($D113="",$E113=""),"",IF(AND($D113&lt;=L$7+6,$E113&gt;=L$7),IF('Plan de Tareas'!$J112="Completada",2,1),""))</f>
        <v/>
      </c>
      <c r="M113" s="36" t="str">
        <f>IF(OR($D113="",$E113=""),"",IF(AND($D113&lt;=M$7+6,$E113&gt;=M$7),IF('Plan de Tareas'!$J112="Completada",2,1),""))</f>
        <v/>
      </c>
      <c r="N113" s="36" t="str">
        <f>IF(OR($D113="",$E113=""),"",IF(AND($D113&lt;=N$7+6,$E113&gt;=N$7),IF('Plan de Tareas'!$J112="Completada",2,1),""))</f>
        <v/>
      </c>
      <c r="O113" s="36" t="str">
        <f>IF(OR($D113="",$E113=""),"",IF(AND($D113&lt;=O$7+6,$E113&gt;=O$7),IF('Plan de Tareas'!$J112="Completada",2,1),""))</f>
        <v/>
      </c>
      <c r="P113" s="36" t="str">
        <f>IF(OR($D113="",$E113=""),"",IF(AND($D113&lt;=P$7+6,$E113&gt;=P$7),IF('Plan de Tareas'!$J112="Completada",2,1),""))</f>
        <v/>
      </c>
      <c r="Q113" s="36" t="str">
        <f>IF(OR($D113="",$E113=""),"",IF(AND($D113&lt;=Q$7+6,$E113&gt;=Q$7),IF('Plan de Tareas'!$J112="Completada",2,1),""))</f>
        <v/>
      </c>
      <c r="R113" s="36" t="str">
        <f>IF(OR($D113="",$E113=""),"",IF(AND($D113&lt;=R$7+6,$E113&gt;=R$7),IF('Plan de Tareas'!$J112="Completada",2,1),""))</f>
        <v/>
      </c>
      <c r="S113" s="36" t="str">
        <f>IF(OR($D113="",$E113=""),"",IF(AND($D113&lt;=S$7+6,$E113&gt;=S$7),IF('Plan de Tareas'!$J112="Completada",2,1),""))</f>
        <v/>
      </c>
      <c r="T113" s="36" t="str">
        <f>IF(OR($D113="",$E113=""),"",IF(AND($D113&lt;=T$7+6,$E113&gt;=T$7),IF('Plan de Tareas'!$J112="Completada",2,1),""))</f>
        <v/>
      </c>
      <c r="U113" s="36" t="str">
        <f>IF(OR($D113="",$E113=""),"",IF(AND($D113&lt;=U$7+6,$E113&gt;=U$7),IF('Plan de Tareas'!$J112="Completada",2,1),""))</f>
        <v/>
      </c>
      <c r="V113" s="36" t="str">
        <f>IF(OR($D113="",$E113=""),"",IF(AND($D113&lt;=V$7+6,$E113&gt;=V$7),IF('Plan de Tareas'!$J112="Completada",2,1),""))</f>
        <v/>
      </c>
      <c r="W113" s="36" t="str">
        <f>IF(OR($D113="",$E113=""),"",IF(AND($D113&lt;=W$7+6,$E113&gt;=W$7),IF('Plan de Tareas'!$J112="Completada",2,1),""))</f>
        <v/>
      </c>
      <c r="X113" s="36" t="str">
        <f>IF(OR($D113="",$E113=""),"",IF(AND($D113&lt;=X$7+6,$E113&gt;=X$7),IF('Plan de Tareas'!$J112="Completada",2,1),""))</f>
        <v/>
      </c>
      <c r="Y113" s="36" t="str">
        <f>IF(OR($D113="",$E113=""),"",IF(AND($D113&lt;=Y$7+6,$E113&gt;=Y$7),IF('Plan de Tareas'!$J112="Completada",2,1),""))</f>
        <v/>
      </c>
      <c r="Z113" s="36" t="str">
        <f>IF(OR($D113="",$E113=""),"",IF(AND($D113&lt;=Z$7+6,$E113&gt;=Z$7),IF('Plan de Tareas'!$J112="Completada",2,1),""))</f>
        <v/>
      </c>
      <c r="AA113" s="36" t="str">
        <f>IF(OR($D113="",$E113=""),"",IF(AND($D113&lt;=AA$7+6,$E113&gt;=AA$7),IF('Plan de Tareas'!$J112="Completada",2,1),""))</f>
        <v/>
      </c>
      <c r="AB113" s="36" t="str">
        <f>IF(OR($D113="",$E113=""),"",IF(AND($D113&lt;=AB$7+6,$E113&gt;=AB$7),IF('Plan de Tareas'!$J112="Completada",2,1),""))</f>
        <v/>
      </c>
      <c r="AC113" s="36" t="str">
        <f>IF(OR($D113="",$E113=""),"",IF(AND($D113&lt;=AC$7+6,$E113&gt;=AC$7),IF('Plan de Tareas'!$J112="Completada",2,1),""))</f>
        <v/>
      </c>
      <c r="AD113" s="36" t="str">
        <f>IF(OR($D113="",$E113=""),"",IF(AND($D113&lt;=AD$7+6,$E113&gt;=AD$7),IF('Plan de Tareas'!$J112="Completada",2,1),""))</f>
        <v/>
      </c>
      <c r="AE113" s="36" t="str">
        <f>IF(OR($D113="",$E113=""),"",IF(AND($D113&lt;=AE$7+6,$E113&gt;=AE$7),IF('Plan de Tareas'!$J112="Completada",2,1),""))</f>
        <v/>
      </c>
    </row>
    <row r="114" spans="1:31" ht="15" customHeight="1" x14ac:dyDescent="0.3">
      <c r="A114" s="34" t="str">
        <f>IF('Plan de Tareas'!$C113="","",'Plan de Tareas'!$A113)</f>
        <v/>
      </c>
      <c r="B114" s="20" t="str">
        <f>IF('Plan de Tareas'!$C113="","",'Plan de Tareas'!$C113)</f>
        <v/>
      </c>
      <c r="C114" s="20" t="str">
        <f>IF('Plan de Tareas'!$C113="","",'Plan de Tareas'!$D113)</f>
        <v/>
      </c>
      <c r="D114" s="35" t="str">
        <f>IF('Plan de Tareas'!$F113="","",'Plan de Tareas'!$F113)</f>
        <v/>
      </c>
      <c r="E114" s="35" t="str">
        <f>IF('Plan de Tareas'!$G113="","",'Plan de Tareas'!$G113)</f>
        <v/>
      </c>
      <c r="F114" s="36" t="str">
        <f>IF(OR($D114="",$E114=""),"",IF(AND($D114&lt;=F$7+6,$E114&gt;=F$7),IF('Plan de Tareas'!$J113="Completada",2,1),""))</f>
        <v/>
      </c>
      <c r="G114" s="36" t="str">
        <f>IF(OR($D114="",$E114=""),"",IF(AND($D114&lt;=G$7+6,$E114&gt;=G$7),IF('Plan de Tareas'!$J113="Completada",2,1),""))</f>
        <v/>
      </c>
      <c r="H114" s="36" t="str">
        <f>IF(OR($D114="",$E114=""),"",IF(AND($D114&lt;=H$7+6,$E114&gt;=H$7),IF('Plan de Tareas'!$J113="Completada",2,1),""))</f>
        <v/>
      </c>
      <c r="I114" s="36" t="str">
        <f>IF(OR($D114="",$E114=""),"",IF(AND($D114&lt;=I$7+6,$E114&gt;=I$7),IF('Plan de Tareas'!$J113="Completada",2,1),""))</f>
        <v/>
      </c>
      <c r="J114" s="36" t="str">
        <f>IF(OR($D114="",$E114=""),"",IF(AND($D114&lt;=J$7+6,$E114&gt;=J$7),IF('Plan de Tareas'!$J113="Completada",2,1),""))</f>
        <v/>
      </c>
      <c r="K114" s="36" t="str">
        <f>IF(OR($D114="",$E114=""),"",IF(AND($D114&lt;=K$7+6,$E114&gt;=K$7),IF('Plan de Tareas'!$J113="Completada",2,1),""))</f>
        <v/>
      </c>
      <c r="L114" s="36" t="str">
        <f>IF(OR($D114="",$E114=""),"",IF(AND($D114&lt;=L$7+6,$E114&gt;=L$7),IF('Plan de Tareas'!$J113="Completada",2,1),""))</f>
        <v/>
      </c>
      <c r="M114" s="36" t="str">
        <f>IF(OR($D114="",$E114=""),"",IF(AND($D114&lt;=M$7+6,$E114&gt;=M$7),IF('Plan de Tareas'!$J113="Completada",2,1),""))</f>
        <v/>
      </c>
      <c r="N114" s="36" t="str">
        <f>IF(OR($D114="",$E114=""),"",IF(AND($D114&lt;=N$7+6,$E114&gt;=N$7),IF('Plan de Tareas'!$J113="Completada",2,1),""))</f>
        <v/>
      </c>
      <c r="O114" s="36" t="str">
        <f>IF(OR($D114="",$E114=""),"",IF(AND($D114&lt;=O$7+6,$E114&gt;=O$7),IF('Plan de Tareas'!$J113="Completada",2,1),""))</f>
        <v/>
      </c>
      <c r="P114" s="36" t="str">
        <f>IF(OR($D114="",$E114=""),"",IF(AND($D114&lt;=P$7+6,$E114&gt;=P$7),IF('Plan de Tareas'!$J113="Completada",2,1),""))</f>
        <v/>
      </c>
      <c r="Q114" s="36" t="str">
        <f>IF(OR($D114="",$E114=""),"",IF(AND($D114&lt;=Q$7+6,$E114&gt;=Q$7),IF('Plan de Tareas'!$J113="Completada",2,1),""))</f>
        <v/>
      </c>
      <c r="R114" s="36" t="str">
        <f>IF(OR($D114="",$E114=""),"",IF(AND($D114&lt;=R$7+6,$E114&gt;=R$7),IF('Plan de Tareas'!$J113="Completada",2,1),""))</f>
        <v/>
      </c>
      <c r="S114" s="36" t="str">
        <f>IF(OR($D114="",$E114=""),"",IF(AND($D114&lt;=S$7+6,$E114&gt;=S$7),IF('Plan de Tareas'!$J113="Completada",2,1),""))</f>
        <v/>
      </c>
      <c r="T114" s="36" t="str">
        <f>IF(OR($D114="",$E114=""),"",IF(AND($D114&lt;=T$7+6,$E114&gt;=T$7),IF('Plan de Tareas'!$J113="Completada",2,1),""))</f>
        <v/>
      </c>
      <c r="U114" s="36" t="str">
        <f>IF(OR($D114="",$E114=""),"",IF(AND($D114&lt;=U$7+6,$E114&gt;=U$7),IF('Plan de Tareas'!$J113="Completada",2,1),""))</f>
        <v/>
      </c>
      <c r="V114" s="36" t="str">
        <f>IF(OR($D114="",$E114=""),"",IF(AND($D114&lt;=V$7+6,$E114&gt;=V$7),IF('Plan de Tareas'!$J113="Completada",2,1),""))</f>
        <v/>
      </c>
      <c r="W114" s="36" t="str">
        <f>IF(OR($D114="",$E114=""),"",IF(AND($D114&lt;=W$7+6,$E114&gt;=W$7),IF('Plan de Tareas'!$J113="Completada",2,1),""))</f>
        <v/>
      </c>
      <c r="X114" s="36" t="str">
        <f>IF(OR($D114="",$E114=""),"",IF(AND($D114&lt;=X$7+6,$E114&gt;=X$7),IF('Plan de Tareas'!$J113="Completada",2,1),""))</f>
        <v/>
      </c>
      <c r="Y114" s="36" t="str">
        <f>IF(OR($D114="",$E114=""),"",IF(AND($D114&lt;=Y$7+6,$E114&gt;=Y$7),IF('Plan de Tareas'!$J113="Completada",2,1),""))</f>
        <v/>
      </c>
      <c r="Z114" s="36" t="str">
        <f>IF(OR($D114="",$E114=""),"",IF(AND($D114&lt;=Z$7+6,$E114&gt;=Z$7),IF('Plan de Tareas'!$J113="Completada",2,1),""))</f>
        <v/>
      </c>
      <c r="AA114" s="36" t="str">
        <f>IF(OR($D114="",$E114=""),"",IF(AND($D114&lt;=AA$7+6,$E114&gt;=AA$7),IF('Plan de Tareas'!$J113="Completada",2,1),""))</f>
        <v/>
      </c>
      <c r="AB114" s="36" t="str">
        <f>IF(OR($D114="",$E114=""),"",IF(AND($D114&lt;=AB$7+6,$E114&gt;=AB$7),IF('Plan de Tareas'!$J113="Completada",2,1),""))</f>
        <v/>
      </c>
      <c r="AC114" s="36" t="str">
        <f>IF(OR($D114="",$E114=""),"",IF(AND($D114&lt;=AC$7+6,$E114&gt;=AC$7),IF('Plan de Tareas'!$J113="Completada",2,1),""))</f>
        <v/>
      </c>
      <c r="AD114" s="36" t="str">
        <f>IF(OR($D114="",$E114=""),"",IF(AND($D114&lt;=AD$7+6,$E114&gt;=AD$7),IF('Plan de Tareas'!$J113="Completada",2,1),""))</f>
        <v/>
      </c>
      <c r="AE114" s="36" t="str">
        <f>IF(OR($D114="",$E114=""),"",IF(AND($D114&lt;=AE$7+6,$E114&gt;=AE$7),IF('Plan de Tareas'!$J113="Completada",2,1),""))</f>
        <v/>
      </c>
    </row>
    <row r="115" spans="1:31" ht="15" customHeight="1" x14ac:dyDescent="0.3">
      <c r="A115" s="37" t="str">
        <f>IF('Plan de Tareas'!$C114="","",'Plan de Tareas'!$A114)</f>
        <v/>
      </c>
      <c r="B115" s="26" t="str">
        <f>IF('Plan de Tareas'!$C114="","",'Plan de Tareas'!$C114)</f>
        <v/>
      </c>
      <c r="C115" s="26" t="str">
        <f>IF('Plan de Tareas'!$C114="","",'Plan de Tareas'!$D114)</f>
        <v/>
      </c>
      <c r="D115" s="38" t="str">
        <f>IF('Plan de Tareas'!$F114="","",'Plan de Tareas'!$F114)</f>
        <v/>
      </c>
      <c r="E115" s="38" t="str">
        <f>IF('Plan de Tareas'!$G114="","",'Plan de Tareas'!$G114)</f>
        <v/>
      </c>
      <c r="F115" s="36" t="str">
        <f>IF(OR($D115="",$E115=""),"",IF(AND($D115&lt;=F$7+6,$E115&gt;=F$7),IF('Plan de Tareas'!$J114="Completada",2,1),""))</f>
        <v/>
      </c>
      <c r="G115" s="36" t="str">
        <f>IF(OR($D115="",$E115=""),"",IF(AND($D115&lt;=G$7+6,$E115&gt;=G$7),IF('Plan de Tareas'!$J114="Completada",2,1),""))</f>
        <v/>
      </c>
      <c r="H115" s="36" t="str">
        <f>IF(OR($D115="",$E115=""),"",IF(AND($D115&lt;=H$7+6,$E115&gt;=H$7),IF('Plan de Tareas'!$J114="Completada",2,1),""))</f>
        <v/>
      </c>
      <c r="I115" s="36" t="str">
        <f>IF(OR($D115="",$E115=""),"",IF(AND($D115&lt;=I$7+6,$E115&gt;=I$7),IF('Plan de Tareas'!$J114="Completada",2,1),""))</f>
        <v/>
      </c>
      <c r="J115" s="36" t="str">
        <f>IF(OR($D115="",$E115=""),"",IF(AND($D115&lt;=J$7+6,$E115&gt;=J$7),IF('Plan de Tareas'!$J114="Completada",2,1),""))</f>
        <v/>
      </c>
      <c r="K115" s="36" t="str">
        <f>IF(OR($D115="",$E115=""),"",IF(AND($D115&lt;=K$7+6,$E115&gt;=K$7),IF('Plan de Tareas'!$J114="Completada",2,1),""))</f>
        <v/>
      </c>
      <c r="L115" s="36" t="str">
        <f>IF(OR($D115="",$E115=""),"",IF(AND($D115&lt;=L$7+6,$E115&gt;=L$7),IF('Plan de Tareas'!$J114="Completada",2,1),""))</f>
        <v/>
      </c>
      <c r="M115" s="36" t="str">
        <f>IF(OR($D115="",$E115=""),"",IF(AND($D115&lt;=M$7+6,$E115&gt;=M$7),IF('Plan de Tareas'!$J114="Completada",2,1),""))</f>
        <v/>
      </c>
      <c r="N115" s="36" t="str">
        <f>IF(OR($D115="",$E115=""),"",IF(AND($D115&lt;=N$7+6,$E115&gt;=N$7),IF('Plan de Tareas'!$J114="Completada",2,1),""))</f>
        <v/>
      </c>
      <c r="O115" s="36" t="str">
        <f>IF(OR($D115="",$E115=""),"",IF(AND($D115&lt;=O$7+6,$E115&gt;=O$7),IF('Plan de Tareas'!$J114="Completada",2,1),""))</f>
        <v/>
      </c>
      <c r="P115" s="36" t="str">
        <f>IF(OR($D115="",$E115=""),"",IF(AND($D115&lt;=P$7+6,$E115&gt;=P$7),IF('Plan de Tareas'!$J114="Completada",2,1),""))</f>
        <v/>
      </c>
      <c r="Q115" s="36" t="str">
        <f>IF(OR($D115="",$E115=""),"",IF(AND($D115&lt;=Q$7+6,$E115&gt;=Q$7),IF('Plan de Tareas'!$J114="Completada",2,1),""))</f>
        <v/>
      </c>
      <c r="R115" s="36" t="str">
        <f>IF(OR($D115="",$E115=""),"",IF(AND($D115&lt;=R$7+6,$E115&gt;=R$7),IF('Plan de Tareas'!$J114="Completada",2,1),""))</f>
        <v/>
      </c>
      <c r="S115" s="36" t="str">
        <f>IF(OR($D115="",$E115=""),"",IF(AND($D115&lt;=S$7+6,$E115&gt;=S$7),IF('Plan de Tareas'!$J114="Completada",2,1),""))</f>
        <v/>
      </c>
      <c r="T115" s="36" t="str">
        <f>IF(OR($D115="",$E115=""),"",IF(AND($D115&lt;=T$7+6,$E115&gt;=T$7),IF('Plan de Tareas'!$J114="Completada",2,1),""))</f>
        <v/>
      </c>
      <c r="U115" s="36" t="str">
        <f>IF(OR($D115="",$E115=""),"",IF(AND($D115&lt;=U$7+6,$E115&gt;=U$7),IF('Plan de Tareas'!$J114="Completada",2,1),""))</f>
        <v/>
      </c>
      <c r="V115" s="36" t="str">
        <f>IF(OR($D115="",$E115=""),"",IF(AND($D115&lt;=V$7+6,$E115&gt;=V$7),IF('Plan de Tareas'!$J114="Completada",2,1),""))</f>
        <v/>
      </c>
      <c r="W115" s="36" t="str">
        <f>IF(OR($D115="",$E115=""),"",IF(AND($D115&lt;=W$7+6,$E115&gt;=W$7),IF('Plan de Tareas'!$J114="Completada",2,1),""))</f>
        <v/>
      </c>
      <c r="X115" s="36" t="str">
        <f>IF(OR($D115="",$E115=""),"",IF(AND($D115&lt;=X$7+6,$E115&gt;=X$7),IF('Plan de Tareas'!$J114="Completada",2,1),""))</f>
        <v/>
      </c>
      <c r="Y115" s="36" t="str">
        <f>IF(OR($D115="",$E115=""),"",IF(AND($D115&lt;=Y$7+6,$E115&gt;=Y$7),IF('Plan de Tareas'!$J114="Completada",2,1),""))</f>
        <v/>
      </c>
      <c r="Z115" s="36" t="str">
        <f>IF(OR($D115="",$E115=""),"",IF(AND($D115&lt;=Z$7+6,$E115&gt;=Z$7),IF('Plan de Tareas'!$J114="Completada",2,1),""))</f>
        <v/>
      </c>
      <c r="AA115" s="36" t="str">
        <f>IF(OR($D115="",$E115=""),"",IF(AND($D115&lt;=AA$7+6,$E115&gt;=AA$7),IF('Plan de Tareas'!$J114="Completada",2,1),""))</f>
        <v/>
      </c>
      <c r="AB115" s="36" t="str">
        <f>IF(OR($D115="",$E115=""),"",IF(AND($D115&lt;=AB$7+6,$E115&gt;=AB$7),IF('Plan de Tareas'!$J114="Completada",2,1),""))</f>
        <v/>
      </c>
      <c r="AC115" s="36" t="str">
        <f>IF(OR($D115="",$E115=""),"",IF(AND($D115&lt;=AC$7+6,$E115&gt;=AC$7),IF('Plan de Tareas'!$J114="Completada",2,1),""))</f>
        <v/>
      </c>
      <c r="AD115" s="36" t="str">
        <f>IF(OR($D115="",$E115=""),"",IF(AND($D115&lt;=AD$7+6,$E115&gt;=AD$7),IF('Plan de Tareas'!$J114="Completada",2,1),""))</f>
        <v/>
      </c>
      <c r="AE115" s="36" t="str">
        <f>IF(OR($D115="",$E115=""),"",IF(AND($D115&lt;=AE$7+6,$E115&gt;=AE$7),IF('Plan de Tareas'!$J114="Completada",2,1),""))</f>
        <v/>
      </c>
    </row>
    <row r="116" spans="1:31" ht="15" customHeight="1" x14ac:dyDescent="0.3">
      <c r="A116" s="34" t="str">
        <f>IF('Plan de Tareas'!$C115="","",'Plan de Tareas'!$A115)</f>
        <v/>
      </c>
      <c r="B116" s="20" t="str">
        <f>IF('Plan de Tareas'!$C115="","",'Plan de Tareas'!$C115)</f>
        <v/>
      </c>
      <c r="C116" s="20" t="str">
        <f>IF('Plan de Tareas'!$C115="","",'Plan de Tareas'!$D115)</f>
        <v/>
      </c>
      <c r="D116" s="35" t="str">
        <f>IF('Plan de Tareas'!$F115="","",'Plan de Tareas'!$F115)</f>
        <v/>
      </c>
      <c r="E116" s="35" t="str">
        <f>IF('Plan de Tareas'!$G115="","",'Plan de Tareas'!$G115)</f>
        <v/>
      </c>
      <c r="F116" s="36" t="str">
        <f>IF(OR($D116="",$E116=""),"",IF(AND($D116&lt;=F$7+6,$E116&gt;=F$7),IF('Plan de Tareas'!$J115="Completada",2,1),""))</f>
        <v/>
      </c>
      <c r="G116" s="36" t="str">
        <f>IF(OR($D116="",$E116=""),"",IF(AND($D116&lt;=G$7+6,$E116&gt;=G$7),IF('Plan de Tareas'!$J115="Completada",2,1),""))</f>
        <v/>
      </c>
      <c r="H116" s="36" t="str">
        <f>IF(OR($D116="",$E116=""),"",IF(AND($D116&lt;=H$7+6,$E116&gt;=H$7),IF('Plan de Tareas'!$J115="Completada",2,1),""))</f>
        <v/>
      </c>
      <c r="I116" s="36" t="str">
        <f>IF(OR($D116="",$E116=""),"",IF(AND($D116&lt;=I$7+6,$E116&gt;=I$7),IF('Plan de Tareas'!$J115="Completada",2,1),""))</f>
        <v/>
      </c>
      <c r="J116" s="36" t="str">
        <f>IF(OR($D116="",$E116=""),"",IF(AND($D116&lt;=J$7+6,$E116&gt;=J$7),IF('Plan de Tareas'!$J115="Completada",2,1),""))</f>
        <v/>
      </c>
      <c r="K116" s="36" t="str">
        <f>IF(OR($D116="",$E116=""),"",IF(AND($D116&lt;=K$7+6,$E116&gt;=K$7),IF('Plan de Tareas'!$J115="Completada",2,1),""))</f>
        <v/>
      </c>
      <c r="L116" s="36" t="str">
        <f>IF(OR($D116="",$E116=""),"",IF(AND($D116&lt;=L$7+6,$E116&gt;=L$7),IF('Plan de Tareas'!$J115="Completada",2,1),""))</f>
        <v/>
      </c>
      <c r="M116" s="36" t="str">
        <f>IF(OR($D116="",$E116=""),"",IF(AND($D116&lt;=M$7+6,$E116&gt;=M$7),IF('Plan de Tareas'!$J115="Completada",2,1),""))</f>
        <v/>
      </c>
      <c r="N116" s="36" t="str">
        <f>IF(OR($D116="",$E116=""),"",IF(AND($D116&lt;=N$7+6,$E116&gt;=N$7),IF('Plan de Tareas'!$J115="Completada",2,1),""))</f>
        <v/>
      </c>
      <c r="O116" s="36" t="str">
        <f>IF(OR($D116="",$E116=""),"",IF(AND($D116&lt;=O$7+6,$E116&gt;=O$7),IF('Plan de Tareas'!$J115="Completada",2,1),""))</f>
        <v/>
      </c>
      <c r="P116" s="36" t="str">
        <f>IF(OR($D116="",$E116=""),"",IF(AND($D116&lt;=P$7+6,$E116&gt;=P$7),IF('Plan de Tareas'!$J115="Completada",2,1),""))</f>
        <v/>
      </c>
      <c r="Q116" s="36" t="str">
        <f>IF(OR($D116="",$E116=""),"",IF(AND($D116&lt;=Q$7+6,$E116&gt;=Q$7),IF('Plan de Tareas'!$J115="Completada",2,1),""))</f>
        <v/>
      </c>
      <c r="R116" s="36" t="str">
        <f>IF(OR($D116="",$E116=""),"",IF(AND($D116&lt;=R$7+6,$E116&gt;=R$7),IF('Plan de Tareas'!$J115="Completada",2,1),""))</f>
        <v/>
      </c>
      <c r="S116" s="36" t="str">
        <f>IF(OR($D116="",$E116=""),"",IF(AND($D116&lt;=S$7+6,$E116&gt;=S$7),IF('Plan de Tareas'!$J115="Completada",2,1),""))</f>
        <v/>
      </c>
      <c r="T116" s="36" t="str">
        <f>IF(OR($D116="",$E116=""),"",IF(AND($D116&lt;=T$7+6,$E116&gt;=T$7),IF('Plan de Tareas'!$J115="Completada",2,1),""))</f>
        <v/>
      </c>
      <c r="U116" s="36" t="str">
        <f>IF(OR($D116="",$E116=""),"",IF(AND($D116&lt;=U$7+6,$E116&gt;=U$7),IF('Plan de Tareas'!$J115="Completada",2,1),""))</f>
        <v/>
      </c>
      <c r="V116" s="36" t="str">
        <f>IF(OR($D116="",$E116=""),"",IF(AND($D116&lt;=V$7+6,$E116&gt;=V$7),IF('Plan de Tareas'!$J115="Completada",2,1),""))</f>
        <v/>
      </c>
      <c r="W116" s="36" t="str">
        <f>IF(OR($D116="",$E116=""),"",IF(AND($D116&lt;=W$7+6,$E116&gt;=W$7),IF('Plan de Tareas'!$J115="Completada",2,1),""))</f>
        <v/>
      </c>
      <c r="X116" s="36" t="str">
        <f>IF(OR($D116="",$E116=""),"",IF(AND($D116&lt;=X$7+6,$E116&gt;=X$7),IF('Plan de Tareas'!$J115="Completada",2,1),""))</f>
        <v/>
      </c>
      <c r="Y116" s="36" t="str">
        <f>IF(OR($D116="",$E116=""),"",IF(AND($D116&lt;=Y$7+6,$E116&gt;=Y$7),IF('Plan de Tareas'!$J115="Completada",2,1),""))</f>
        <v/>
      </c>
      <c r="Z116" s="36" t="str">
        <f>IF(OR($D116="",$E116=""),"",IF(AND($D116&lt;=Z$7+6,$E116&gt;=Z$7),IF('Plan de Tareas'!$J115="Completada",2,1),""))</f>
        <v/>
      </c>
      <c r="AA116" s="36" t="str">
        <f>IF(OR($D116="",$E116=""),"",IF(AND($D116&lt;=AA$7+6,$E116&gt;=AA$7),IF('Plan de Tareas'!$J115="Completada",2,1),""))</f>
        <v/>
      </c>
      <c r="AB116" s="36" t="str">
        <f>IF(OR($D116="",$E116=""),"",IF(AND($D116&lt;=AB$7+6,$E116&gt;=AB$7),IF('Plan de Tareas'!$J115="Completada",2,1),""))</f>
        <v/>
      </c>
      <c r="AC116" s="36" t="str">
        <f>IF(OR($D116="",$E116=""),"",IF(AND($D116&lt;=AC$7+6,$E116&gt;=AC$7),IF('Plan de Tareas'!$J115="Completada",2,1),""))</f>
        <v/>
      </c>
      <c r="AD116" s="36" t="str">
        <f>IF(OR($D116="",$E116=""),"",IF(AND($D116&lt;=AD$7+6,$E116&gt;=AD$7),IF('Plan de Tareas'!$J115="Completada",2,1),""))</f>
        <v/>
      </c>
      <c r="AE116" s="36" t="str">
        <f>IF(OR($D116="",$E116=""),"",IF(AND($D116&lt;=AE$7+6,$E116&gt;=AE$7),IF('Plan de Tareas'!$J115="Completada",2,1),""))</f>
        <v/>
      </c>
    </row>
    <row r="117" spans="1:31" ht="15" customHeight="1" x14ac:dyDescent="0.3">
      <c r="A117" s="37" t="str">
        <f>IF('Plan de Tareas'!$C116="","",'Plan de Tareas'!$A116)</f>
        <v/>
      </c>
      <c r="B117" s="26" t="str">
        <f>IF('Plan de Tareas'!$C116="","",'Plan de Tareas'!$C116)</f>
        <v/>
      </c>
      <c r="C117" s="26" t="str">
        <f>IF('Plan de Tareas'!$C116="","",'Plan de Tareas'!$D116)</f>
        <v/>
      </c>
      <c r="D117" s="38" t="str">
        <f>IF('Plan de Tareas'!$F116="","",'Plan de Tareas'!$F116)</f>
        <v/>
      </c>
      <c r="E117" s="38" t="str">
        <f>IF('Plan de Tareas'!$G116="","",'Plan de Tareas'!$G116)</f>
        <v/>
      </c>
      <c r="F117" s="36" t="str">
        <f>IF(OR($D117="",$E117=""),"",IF(AND($D117&lt;=F$7+6,$E117&gt;=F$7),IF('Plan de Tareas'!$J116="Completada",2,1),""))</f>
        <v/>
      </c>
      <c r="G117" s="36" t="str">
        <f>IF(OR($D117="",$E117=""),"",IF(AND($D117&lt;=G$7+6,$E117&gt;=G$7),IF('Plan de Tareas'!$J116="Completada",2,1),""))</f>
        <v/>
      </c>
      <c r="H117" s="36" t="str">
        <f>IF(OR($D117="",$E117=""),"",IF(AND($D117&lt;=H$7+6,$E117&gt;=H$7),IF('Plan de Tareas'!$J116="Completada",2,1),""))</f>
        <v/>
      </c>
      <c r="I117" s="36" t="str">
        <f>IF(OR($D117="",$E117=""),"",IF(AND($D117&lt;=I$7+6,$E117&gt;=I$7),IF('Plan de Tareas'!$J116="Completada",2,1),""))</f>
        <v/>
      </c>
      <c r="J117" s="36" t="str">
        <f>IF(OR($D117="",$E117=""),"",IF(AND($D117&lt;=J$7+6,$E117&gt;=J$7),IF('Plan de Tareas'!$J116="Completada",2,1),""))</f>
        <v/>
      </c>
      <c r="K117" s="36" t="str">
        <f>IF(OR($D117="",$E117=""),"",IF(AND($D117&lt;=K$7+6,$E117&gt;=K$7),IF('Plan de Tareas'!$J116="Completada",2,1),""))</f>
        <v/>
      </c>
      <c r="L117" s="36" t="str">
        <f>IF(OR($D117="",$E117=""),"",IF(AND($D117&lt;=L$7+6,$E117&gt;=L$7),IF('Plan de Tareas'!$J116="Completada",2,1),""))</f>
        <v/>
      </c>
      <c r="M117" s="36" t="str">
        <f>IF(OR($D117="",$E117=""),"",IF(AND($D117&lt;=M$7+6,$E117&gt;=M$7),IF('Plan de Tareas'!$J116="Completada",2,1),""))</f>
        <v/>
      </c>
      <c r="N117" s="36" t="str">
        <f>IF(OR($D117="",$E117=""),"",IF(AND($D117&lt;=N$7+6,$E117&gt;=N$7),IF('Plan de Tareas'!$J116="Completada",2,1),""))</f>
        <v/>
      </c>
      <c r="O117" s="36" t="str">
        <f>IF(OR($D117="",$E117=""),"",IF(AND($D117&lt;=O$7+6,$E117&gt;=O$7),IF('Plan de Tareas'!$J116="Completada",2,1),""))</f>
        <v/>
      </c>
      <c r="P117" s="36" t="str">
        <f>IF(OR($D117="",$E117=""),"",IF(AND($D117&lt;=P$7+6,$E117&gt;=P$7),IF('Plan de Tareas'!$J116="Completada",2,1),""))</f>
        <v/>
      </c>
      <c r="Q117" s="36" t="str">
        <f>IF(OR($D117="",$E117=""),"",IF(AND($D117&lt;=Q$7+6,$E117&gt;=Q$7),IF('Plan de Tareas'!$J116="Completada",2,1),""))</f>
        <v/>
      </c>
      <c r="R117" s="36" t="str">
        <f>IF(OR($D117="",$E117=""),"",IF(AND($D117&lt;=R$7+6,$E117&gt;=R$7),IF('Plan de Tareas'!$J116="Completada",2,1),""))</f>
        <v/>
      </c>
      <c r="S117" s="36" t="str">
        <f>IF(OR($D117="",$E117=""),"",IF(AND($D117&lt;=S$7+6,$E117&gt;=S$7),IF('Plan de Tareas'!$J116="Completada",2,1),""))</f>
        <v/>
      </c>
      <c r="T117" s="36" t="str">
        <f>IF(OR($D117="",$E117=""),"",IF(AND($D117&lt;=T$7+6,$E117&gt;=T$7),IF('Plan de Tareas'!$J116="Completada",2,1),""))</f>
        <v/>
      </c>
      <c r="U117" s="36" t="str">
        <f>IF(OR($D117="",$E117=""),"",IF(AND($D117&lt;=U$7+6,$E117&gt;=U$7),IF('Plan de Tareas'!$J116="Completada",2,1),""))</f>
        <v/>
      </c>
      <c r="V117" s="36" t="str">
        <f>IF(OR($D117="",$E117=""),"",IF(AND($D117&lt;=V$7+6,$E117&gt;=V$7),IF('Plan de Tareas'!$J116="Completada",2,1),""))</f>
        <v/>
      </c>
      <c r="W117" s="36" t="str">
        <f>IF(OR($D117="",$E117=""),"",IF(AND($D117&lt;=W$7+6,$E117&gt;=W$7),IF('Plan de Tareas'!$J116="Completada",2,1),""))</f>
        <v/>
      </c>
      <c r="X117" s="36" t="str">
        <f>IF(OR($D117="",$E117=""),"",IF(AND($D117&lt;=X$7+6,$E117&gt;=X$7),IF('Plan de Tareas'!$J116="Completada",2,1),""))</f>
        <v/>
      </c>
      <c r="Y117" s="36" t="str">
        <f>IF(OR($D117="",$E117=""),"",IF(AND($D117&lt;=Y$7+6,$E117&gt;=Y$7),IF('Plan de Tareas'!$J116="Completada",2,1),""))</f>
        <v/>
      </c>
      <c r="Z117" s="36" t="str">
        <f>IF(OR($D117="",$E117=""),"",IF(AND($D117&lt;=Z$7+6,$E117&gt;=Z$7),IF('Plan de Tareas'!$J116="Completada",2,1),""))</f>
        <v/>
      </c>
      <c r="AA117" s="36" t="str">
        <f>IF(OR($D117="",$E117=""),"",IF(AND($D117&lt;=AA$7+6,$E117&gt;=AA$7),IF('Plan de Tareas'!$J116="Completada",2,1),""))</f>
        <v/>
      </c>
      <c r="AB117" s="36" t="str">
        <f>IF(OR($D117="",$E117=""),"",IF(AND($D117&lt;=AB$7+6,$E117&gt;=AB$7),IF('Plan de Tareas'!$J116="Completada",2,1),""))</f>
        <v/>
      </c>
      <c r="AC117" s="36" t="str">
        <f>IF(OR($D117="",$E117=""),"",IF(AND($D117&lt;=AC$7+6,$E117&gt;=AC$7),IF('Plan de Tareas'!$J116="Completada",2,1),""))</f>
        <v/>
      </c>
      <c r="AD117" s="36" t="str">
        <f>IF(OR($D117="",$E117=""),"",IF(AND($D117&lt;=AD$7+6,$E117&gt;=AD$7),IF('Plan de Tareas'!$J116="Completada",2,1),""))</f>
        <v/>
      </c>
      <c r="AE117" s="36" t="str">
        <f>IF(OR($D117="",$E117=""),"",IF(AND($D117&lt;=AE$7+6,$E117&gt;=AE$7),IF('Plan de Tareas'!$J116="Completada",2,1),""))</f>
        <v/>
      </c>
    </row>
    <row r="118" spans="1:31" ht="15" customHeight="1" x14ac:dyDescent="0.3">
      <c r="A118" s="34" t="str">
        <f>IF('Plan de Tareas'!$C117="","",'Plan de Tareas'!$A117)</f>
        <v/>
      </c>
      <c r="B118" s="20" t="str">
        <f>IF('Plan de Tareas'!$C117="","",'Plan de Tareas'!$C117)</f>
        <v/>
      </c>
      <c r="C118" s="20" t="str">
        <f>IF('Plan de Tareas'!$C117="","",'Plan de Tareas'!$D117)</f>
        <v/>
      </c>
      <c r="D118" s="35" t="str">
        <f>IF('Plan de Tareas'!$F117="","",'Plan de Tareas'!$F117)</f>
        <v/>
      </c>
      <c r="E118" s="35" t="str">
        <f>IF('Plan de Tareas'!$G117="","",'Plan de Tareas'!$G117)</f>
        <v/>
      </c>
      <c r="F118" s="36" t="str">
        <f>IF(OR($D118="",$E118=""),"",IF(AND($D118&lt;=F$7+6,$E118&gt;=F$7),IF('Plan de Tareas'!$J117="Completada",2,1),""))</f>
        <v/>
      </c>
      <c r="G118" s="36" t="str">
        <f>IF(OR($D118="",$E118=""),"",IF(AND($D118&lt;=G$7+6,$E118&gt;=G$7),IF('Plan de Tareas'!$J117="Completada",2,1),""))</f>
        <v/>
      </c>
      <c r="H118" s="36" t="str">
        <f>IF(OR($D118="",$E118=""),"",IF(AND($D118&lt;=H$7+6,$E118&gt;=H$7),IF('Plan de Tareas'!$J117="Completada",2,1),""))</f>
        <v/>
      </c>
      <c r="I118" s="36" t="str">
        <f>IF(OR($D118="",$E118=""),"",IF(AND($D118&lt;=I$7+6,$E118&gt;=I$7),IF('Plan de Tareas'!$J117="Completada",2,1),""))</f>
        <v/>
      </c>
      <c r="J118" s="36" t="str">
        <f>IF(OR($D118="",$E118=""),"",IF(AND($D118&lt;=J$7+6,$E118&gt;=J$7),IF('Plan de Tareas'!$J117="Completada",2,1),""))</f>
        <v/>
      </c>
      <c r="K118" s="36" t="str">
        <f>IF(OR($D118="",$E118=""),"",IF(AND($D118&lt;=K$7+6,$E118&gt;=K$7),IF('Plan de Tareas'!$J117="Completada",2,1),""))</f>
        <v/>
      </c>
      <c r="L118" s="36" t="str">
        <f>IF(OR($D118="",$E118=""),"",IF(AND($D118&lt;=L$7+6,$E118&gt;=L$7),IF('Plan de Tareas'!$J117="Completada",2,1),""))</f>
        <v/>
      </c>
      <c r="M118" s="36" t="str">
        <f>IF(OR($D118="",$E118=""),"",IF(AND($D118&lt;=M$7+6,$E118&gt;=M$7),IF('Plan de Tareas'!$J117="Completada",2,1),""))</f>
        <v/>
      </c>
      <c r="N118" s="36" t="str">
        <f>IF(OR($D118="",$E118=""),"",IF(AND($D118&lt;=N$7+6,$E118&gt;=N$7),IF('Plan de Tareas'!$J117="Completada",2,1),""))</f>
        <v/>
      </c>
      <c r="O118" s="36" t="str">
        <f>IF(OR($D118="",$E118=""),"",IF(AND($D118&lt;=O$7+6,$E118&gt;=O$7),IF('Plan de Tareas'!$J117="Completada",2,1),""))</f>
        <v/>
      </c>
      <c r="P118" s="36" t="str">
        <f>IF(OR($D118="",$E118=""),"",IF(AND($D118&lt;=P$7+6,$E118&gt;=P$7),IF('Plan de Tareas'!$J117="Completada",2,1),""))</f>
        <v/>
      </c>
      <c r="Q118" s="36" t="str">
        <f>IF(OR($D118="",$E118=""),"",IF(AND($D118&lt;=Q$7+6,$E118&gt;=Q$7),IF('Plan de Tareas'!$J117="Completada",2,1),""))</f>
        <v/>
      </c>
      <c r="R118" s="36" t="str">
        <f>IF(OR($D118="",$E118=""),"",IF(AND($D118&lt;=R$7+6,$E118&gt;=R$7),IF('Plan de Tareas'!$J117="Completada",2,1),""))</f>
        <v/>
      </c>
      <c r="S118" s="36" t="str">
        <f>IF(OR($D118="",$E118=""),"",IF(AND($D118&lt;=S$7+6,$E118&gt;=S$7),IF('Plan de Tareas'!$J117="Completada",2,1),""))</f>
        <v/>
      </c>
      <c r="T118" s="36" t="str">
        <f>IF(OR($D118="",$E118=""),"",IF(AND($D118&lt;=T$7+6,$E118&gt;=T$7),IF('Plan de Tareas'!$J117="Completada",2,1),""))</f>
        <v/>
      </c>
      <c r="U118" s="36" t="str">
        <f>IF(OR($D118="",$E118=""),"",IF(AND($D118&lt;=U$7+6,$E118&gt;=U$7),IF('Plan de Tareas'!$J117="Completada",2,1),""))</f>
        <v/>
      </c>
      <c r="V118" s="36" t="str">
        <f>IF(OR($D118="",$E118=""),"",IF(AND($D118&lt;=V$7+6,$E118&gt;=V$7),IF('Plan de Tareas'!$J117="Completada",2,1),""))</f>
        <v/>
      </c>
      <c r="W118" s="36" t="str">
        <f>IF(OR($D118="",$E118=""),"",IF(AND($D118&lt;=W$7+6,$E118&gt;=W$7),IF('Plan de Tareas'!$J117="Completada",2,1),""))</f>
        <v/>
      </c>
      <c r="X118" s="36" t="str">
        <f>IF(OR($D118="",$E118=""),"",IF(AND($D118&lt;=X$7+6,$E118&gt;=X$7),IF('Plan de Tareas'!$J117="Completada",2,1),""))</f>
        <v/>
      </c>
      <c r="Y118" s="36" t="str">
        <f>IF(OR($D118="",$E118=""),"",IF(AND($D118&lt;=Y$7+6,$E118&gt;=Y$7),IF('Plan de Tareas'!$J117="Completada",2,1),""))</f>
        <v/>
      </c>
      <c r="Z118" s="36" t="str">
        <f>IF(OR($D118="",$E118=""),"",IF(AND($D118&lt;=Z$7+6,$E118&gt;=Z$7),IF('Plan de Tareas'!$J117="Completada",2,1),""))</f>
        <v/>
      </c>
      <c r="AA118" s="36" t="str">
        <f>IF(OR($D118="",$E118=""),"",IF(AND($D118&lt;=AA$7+6,$E118&gt;=AA$7),IF('Plan de Tareas'!$J117="Completada",2,1),""))</f>
        <v/>
      </c>
      <c r="AB118" s="36" t="str">
        <f>IF(OR($D118="",$E118=""),"",IF(AND($D118&lt;=AB$7+6,$E118&gt;=AB$7),IF('Plan de Tareas'!$J117="Completada",2,1),""))</f>
        <v/>
      </c>
      <c r="AC118" s="36" t="str">
        <f>IF(OR($D118="",$E118=""),"",IF(AND($D118&lt;=AC$7+6,$E118&gt;=AC$7),IF('Plan de Tareas'!$J117="Completada",2,1),""))</f>
        <v/>
      </c>
      <c r="AD118" s="36" t="str">
        <f>IF(OR($D118="",$E118=""),"",IF(AND($D118&lt;=AD$7+6,$E118&gt;=AD$7),IF('Plan de Tareas'!$J117="Completada",2,1),""))</f>
        <v/>
      </c>
      <c r="AE118" s="36" t="str">
        <f>IF(OR($D118="",$E118=""),"",IF(AND($D118&lt;=AE$7+6,$E118&gt;=AE$7),IF('Plan de Tareas'!$J117="Completada",2,1),""))</f>
        <v/>
      </c>
    </row>
    <row r="119" spans="1:31" ht="15" customHeight="1" x14ac:dyDescent="0.3">
      <c r="A119" s="37" t="str">
        <f>IF('Plan de Tareas'!$C118="","",'Plan de Tareas'!$A118)</f>
        <v/>
      </c>
      <c r="B119" s="26" t="str">
        <f>IF('Plan de Tareas'!$C118="","",'Plan de Tareas'!$C118)</f>
        <v/>
      </c>
      <c r="C119" s="26" t="str">
        <f>IF('Plan de Tareas'!$C118="","",'Plan de Tareas'!$D118)</f>
        <v/>
      </c>
      <c r="D119" s="38" t="str">
        <f>IF('Plan de Tareas'!$F118="","",'Plan de Tareas'!$F118)</f>
        <v/>
      </c>
      <c r="E119" s="38" t="str">
        <f>IF('Plan de Tareas'!$G118="","",'Plan de Tareas'!$G118)</f>
        <v/>
      </c>
      <c r="F119" s="36" t="str">
        <f>IF(OR($D119="",$E119=""),"",IF(AND($D119&lt;=F$7+6,$E119&gt;=F$7),IF('Plan de Tareas'!$J118="Completada",2,1),""))</f>
        <v/>
      </c>
      <c r="G119" s="36" t="str">
        <f>IF(OR($D119="",$E119=""),"",IF(AND($D119&lt;=G$7+6,$E119&gt;=G$7),IF('Plan de Tareas'!$J118="Completada",2,1),""))</f>
        <v/>
      </c>
      <c r="H119" s="36" t="str">
        <f>IF(OR($D119="",$E119=""),"",IF(AND($D119&lt;=H$7+6,$E119&gt;=H$7),IF('Plan de Tareas'!$J118="Completada",2,1),""))</f>
        <v/>
      </c>
      <c r="I119" s="36" t="str">
        <f>IF(OR($D119="",$E119=""),"",IF(AND($D119&lt;=I$7+6,$E119&gt;=I$7),IF('Plan de Tareas'!$J118="Completada",2,1),""))</f>
        <v/>
      </c>
      <c r="J119" s="36" t="str">
        <f>IF(OR($D119="",$E119=""),"",IF(AND($D119&lt;=J$7+6,$E119&gt;=J$7),IF('Plan de Tareas'!$J118="Completada",2,1),""))</f>
        <v/>
      </c>
      <c r="K119" s="36" t="str">
        <f>IF(OR($D119="",$E119=""),"",IF(AND($D119&lt;=K$7+6,$E119&gt;=K$7),IF('Plan de Tareas'!$J118="Completada",2,1),""))</f>
        <v/>
      </c>
      <c r="L119" s="36" t="str">
        <f>IF(OR($D119="",$E119=""),"",IF(AND($D119&lt;=L$7+6,$E119&gt;=L$7),IF('Plan de Tareas'!$J118="Completada",2,1),""))</f>
        <v/>
      </c>
      <c r="M119" s="36" t="str">
        <f>IF(OR($D119="",$E119=""),"",IF(AND($D119&lt;=M$7+6,$E119&gt;=M$7),IF('Plan de Tareas'!$J118="Completada",2,1),""))</f>
        <v/>
      </c>
      <c r="N119" s="36" t="str">
        <f>IF(OR($D119="",$E119=""),"",IF(AND($D119&lt;=N$7+6,$E119&gt;=N$7),IF('Plan de Tareas'!$J118="Completada",2,1),""))</f>
        <v/>
      </c>
      <c r="O119" s="36" t="str">
        <f>IF(OR($D119="",$E119=""),"",IF(AND($D119&lt;=O$7+6,$E119&gt;=O$7),IF('Plan de Tareas'!$J118="Completada",2,1),""))</f>
        <v/>
      </c>
      <c r="P119" s="36" t="str">
        <f>IF(OR($D119="",$E119=""),"",IF(AND($D119&lt;=P$7+6,$E119&gt;=P$7),IF('Plan de Tareas'!$J118="Completada",2,1),""))</f>
        <v/>
      </c>
      <c r="Q119" s="36" t="str">
        <f>IF(OR($D119="",$E119=""),"",IF(AND($D119&lt;=Q$7+6,$E119&gt;=Q$7),IF('Plan de Tareas'!$J118="Completada",2,1),""))</f>
        <v/>
      </c>
      <c r="R119" s="36" t="str">
        <f>IF(OR($D119="",$E119=""),"",IF(AND($D119&lt;=R$7+6,$E119&gt;=R$7),IF('Plan de Tareas'!$J118="Completada",2,1),""))</f>
        <v/>
      </c>
      <c r="S119" s="36" t="str">
        <f>IF(OR($D119="",$E119=""),"",IF(AND($D119&lt;=S$7+6,$E119&gt;=S$7),IF('Plan de Tareas'!$J118="Completada",2,1),""))</f>
        <v/>
      </c>
      <c r="T119" s="36" t="str">
        <f>IF(OR($D119="",$E119=""),"",IF(AND($D119&lt;=T$7+6,$E119&gt;=T$7),IF('Plan de Tareas'!$J118="Completada",2,1),""))</f>
        <v/>
      </c>
      <c r="U119" s="36" t="str">
        <f>IF(OR($D119="",$E119=""),"",IF(AND($D119&lt;=U$7+6,$E119&gt;=U$7),IF('Plan de Tareas'!$J118="Completada",2,1),""))</f>
        <v/>
      </c>
      <c r="V119" s="36" t="str">
        <f>IF(OR($D119="",$E119=""),"",IF(AND($D119&lt;=V$7+6,$E119&gt;=V$7),IF('Plan de Tareas'!$J118="Completada",2,1),""))</f>
        <v/>
      </c>
      <c r="W119" s="36" t="str">
        <f>IF(OR($D119="",$E119=""),"",IF(AND($D119&lt;=W$7+6,$E119&gt;=W$7),IF('Plan de Tareas'!$J118="Completada",2,1),""))</f>
        <v/>
      </c>
      <c r="X119" s="36" t="str">
        <f>IF(OR($D119="",$E119=""),"",IF(AND($D119&lt;=X$7+6,$E119&gt;=X$7),IF('Plan de Tareas'!$J118="Completada",2,1),""))</f>
        <v/>
      </c>
      <c r="Y119" s="36" t="str">
        <f>IF(OR($D119="",$E119=""),"",IF(AND($D119&lt;=Y$7+6,$E119&gt;=Y$7),IF('Plan de Tareas'!$J118="Completada",2,1),""))</f>
        <v/>
      </c>
      <c r="Z119" s="36" t="str">
        <f>IF(OR($D119="",$E119=""),"",IF(AND($D119&lt;=Z$7+6,$E119&gt;=Z$7),IF('Plan de Tareas'!$J118="Completada",2,1),""))</f>
        <v/>
      </c>
      <c r="AA119" s="36" t="str">
        <f>IF(OR($D119="",$E119=""),"",IF(AND($D119&lt;=AA$7+6,$E119&gt;=AA$7),IF('Plan de Tareas'!$J118="Completada",2,1),""))</f>
        <v/>
      </c>
      <c r="AB119" s="36" t="str">
        <f>IF(OR($D119="",$E119=""),"",IF(AND($D119&lt;=AB$7+6,$E119&gt;=AB$7),IF('Plan de Tareas'!$J118="Completada",2,1),""))</f>
        <v/>
      </c>
      <c r="AC119" s="36" t="str">
        <f>IF(OR($D119="",$E119=""),"",IF(AND($D119&lt;=AC$7+6,$E119&gt;=AC$7),IF('Plan de Tareas'!$J118="Completada",2,1),""))</f>
        <v/>
      </c>
      <c r="AD119" s="36" t="str">
        <f>IF(OR($D119="",$E119=""),"",IF(AND($D119&lt;=AD$7+6,$E119&gt;=AD$7),IF('Plan de Tareas'!$J118="Completada",2,1),""))</f>
        <v/>
      </c>
      <c r="AE119" s="36" t="str">
        <f>IF(OR($D119="",$E119=""),"",IF(AND($D119&lt;=AE$7+6,$E119&gt;=AE$7),IF('Plan de Tareas'!$J118="Completada",2,1),""))</f>
        <v/>
      </c>
    </row>
    <row r="120" spans="1:31" ht="15" customHeight="1" x14ac:dyDescent="0.3">
      <c r="A120" s="34" t="str">
        <f>IF('Plan de Tareas'!$C119="","",'Plan de Tareas'!$A119)</f>
        <v/>
      </c>
      <c r="B120" s="20" t="str">
        <f>IF('Plan de Tareas'!$C119="","",'Plan de Tareas'!$C119)</f>
        <v/>
      </c>
      <c r="C120" s="20" t="str">
        <f>IF('Plan de Tareas'!$C119="","",'Plan de Tareas'!$D119)</f>
        <v/>
      </c>
      <c r="D120" s="35" t="str">
        <f>IF('Plan de Tareas'!$F119="","",'Plan de Tareas'!$F119)</f>
        <v/>
      </c>
      <c r="E120" s="35" t="str">
        <f>IF('Plan de Tareas'!$G119="","",'Plan de Tareas'!$G119)</f>
        <v/>
      </c>
      <c r="F120" s="36" t="str">
        <f>IF(OR($D120="",$E120=""),"",IF(AND($D120&lt;=F$7+6,$E120&gt;=F$7),IF('Plan de Tareas'!$J119="Completada",2,1),""))</f>
        <v/>
      </c>
      <c r="G120" s="36" t="str">
        <f>IF(OR($D120="",$E120=""),"",IF(AND($D120&lt;=G$7+6,$E120&gt;=G$7),IF('Plan de Tareas'!$J119="Completada",2,1),""))</f>
        <v/>
      </c>
      <c r="H120" s="36" t="str">
        <f>IF(OR($D120="",$E120=""),"",IF(AND($D120&lt;=H$7+6,$E120&gt;=H$7),IF('Plan de Tareas'!$J119="Completada",2,1),""))</f>
        <v/>
      </c>
      <c r="I120" s="36" t="str">
        <f>IF(OR($D120="",$E120=""),"",IF(AND($D120&lt;=I$7+6,$E120&gt;=I$7),IF('Plan de Tareas'!$J119="Completada",2,1),""))</f>
        <v/>
      </c>
      <c r="J120" s="36" t="str">
        <f>IF(OR($D120="",$E120=""),"",IF(AND($D120&lt;=J$7+6,$E120&gt;=J$7),IF('Plan de Tareas'!$J119="Completada",2,1),""))</f>
        <v/>
      </c>
      <c r="K120" s="36" t="str">
        <f>IF(OR($D120="",$E120=""),"",IF(AND($D120&lt;=K$7+6,$E120&gt;=K$7),IF('Plan de Tareas'!$J119="Completada",2,1),""))</f>
        <v/>
      </c>
      <c r="L120" s="36" t="str">
        <f>IF(OR($D120="",$E120=""),"",IF(AND($D120&lt;=L$7+6,$E120&gt;=L$7),IF('Plan de Tareas'!$J119="Completada",2,1),""))</f>
        <v/>
      </c>
      <c r="M120" s="36" t="str">
        <f>IF(OR($D120="",$E120=""),"",IF(AND($D120&lt;=M$7+6,$E120&gt;=M$7),IF('Plan de Tareas'!$J119="Completada",2,1),""))</f>
        <v/>
      </c>
      <c r="N120" s="36" t="str">
        <f>IF(OR($D120="",$E120=""),"",IF(AND($D120&lt;=N$7+6,$E120&gt;=N$7),IF('Plan de Tareas'!$J119="Completada",2,1),""))</f>
        <v/>
      </c>
      <c r="O120" s="36" t="str">
        <f>IF(OR($D120="",$E120=""),"",IF(AND($D120&lt;=O$7+6,$E120&gt;=O$7),IF('Plan de Tareas'!$J119="Completada",2,1),""))</f>
        <v/>
      </c>
      <c r="P120" s="36" t="str">
        <f>IF(OR($D120="",$E120=""),"",IF(AND($D120&lt;=P$7+6,$E120&gt;=P$7),IF('Plan de Tareas'!$J119="Completada",2,1),""))</f>
        <v/>
      </c>
      <c r="Q120" s="36" t="str">
        <f>IF(OR($D120="",$E120=""),"",IF(AND($D120&lt;=Q$7+6,$E120&gt;=Q$7),IF('Plan de Tareas'!$J119="Completada",2,1),""))</f>
        <v/>
      </c>
      <c r="R120" s="36" t="str">
        <f>IF(OR($D120="",$E120=""),"",IF(AND($D120&lt;=R$7+6,$E120&gt;=R$7),IF('Plan de Tareas'!$J119="Completada",2,1),""))</f>
        <v/>
      </c>
      <c r="S120" s="36" t="str">
        <f>IF(OR($D120="",$E120=""),"",IF(AND($D120&lt;=S$7+6,$E120&gt;=S$7),IF('Plan de Tareas'!$J119="Completada",2,1),""))</f>
        <v/>
      </c>
      <c r="T120" s="36" t="str">
        <f>IF(OR($D120="",$E120=""),"",IF(AND($D120&lt;=T$7+6,$E120&gt;=T$7),IF('Plan de Tareas'!$J119="Completada",2,1),""))</f>
        <v/>
      </c>
      <c r="U120" s="36" t="str">
        <f>IF(OR($D120="",$E120=""),"",IF(AND($D120&lt;=U$7+6,$E120&gt;=U$7),IF('Plan de Tareas'!$J119="Completada",2,1),""))</f>
        <v/>
      </c>
      <c r="V120" s="36" t="str">
        <f>IF(OR($D120="",$E120=""),"",IF(AND($D120&lt;=V$7+6,$E120&gt;=V$7),IF('Plan de Tareas'!$J119="Completada",2,1),""))</f>
        <v/>
      </c>
      <c r="W120" s="36" t="str">
        <f>IF(OR($D120="",$E120=""),"",IF(AND($D120&lt;=W$7+6,$E120&gt;=W$7),IF('Plan de Tareas'!$J119="Completada",2,1),""))</f>
        <v/>
      </c>
      <c r="X120" s="36" t="str">
        <f>IF(OR($D120="",$E120=""),"",IF(AND($D120&lt;=X$7+6,$E120&gt;=X$7),IF('Plan de Tareas'!$J119="Completada",2,1),""))</f>
        <v/>
      </c>
      <c r="Y120" s="36" t="str">
        <f>IF(OR($D120="",$E120=""),"",IF(AND($D120&lt;=Y$7+6,$E120&gt;=Y$7),IF('Plan de Tareas'!$J119="Completada",2,1),""))</f>
        <v/>
      </c>
      <c r="Z120" s="36" t="str">
        <f>IF(OR($D120="",$E120=""),"",IF(AND($D120&lt;=Z$7+6,$E120&gt;=Z$7),IF('Plan de Tareas'!$J119="Completada",2,1),""))</f>
        <v/>
      </c>
      <c r="AA120" s="36" t="str">
        <f>IF(OR($D120="",$E120=""),"",IF(AND($D120&lt;=AA$7+6,$E120&gt;=AA$7),IF('Plan de Tareas'!$J119="Completada",2,1),""))</f>
        <v/>
      </c>
      <c r="AB120" s="36" t="str">
        <f>IF(OR($D120="",$E120=""),"",IF(AND($D120&lt;=AB$7+6,$E120&gt;=AB$7),IF('Plan de Tareas'!$J119="Completada",2,1),""))</f>
        <v/>
      </c>
      <c r="AC120" s="36" t="str">
        <f>IF(OR($D120="",$E120=""),"",IF(AND($D120&lt;=AC$7+6,$E120&gt;=AC$7),IF('Plan de Tareas'!$J119="Completada",2,1),""))</f>
        <v/>
      </c>
      <c r="AD120" s="36" t="str">
        <f>IF(OR($D120="",$E120=""),"",IF(AND($D120&lt;=AD$7+6,$E120&gt;=AD$7),IF('Plan de Tareas'!$J119="Completada",2,1),""))</f>
        <v/>
      </c>
      <c r="AE120" s="36" t="str">
        <f>IF(OR($D120="",$E120=""),"",IF(AND($D120&lt;=AE$7+6,$E120&gt;=AE$7),IF('Plan de Tareas'!$J119="Completada",2,1),""))</f>
        <v/>
      </c>
    </row>
    <row r="121" spans="1:31" ht="15" customHeight="1" x14ac:dyDescent="0.3">
      <c r="A121" s="37" t="str">
        <f>IF('Plan de Tareas'!$C120="","",'Plan de Tareas'!$A120)</f>
        <v/>
      </c>
      <c r="B121" s="26" t="str">
        <f>IF('Plan de Tareas'!$C120="","",'Plan de Tareas'!$C120)</f>
        <v/>
      </c>
      <c r="C121" s="26" t="str">
        <f>IF('Plan de Tareas'!$C120="","",'Plan de Tareas'!$D120)</f>
        <v/>
      </c>
      <c r="D121" s="38" t="str">
        <f>IF('Plan de Tareas'!$F120="","",'Plan de Tareas'!$F120)</f>
        <v/>
      </c>
      <c r="E121" s="38" t="str">
        <f>IF('Plan de Tareas'!$G120="","",'Plan de Tareas'!$G120)</f>
        <v/>
      </c>
      <c r="F121" s="36" t="str">
        <f>IF(OR($D121="",$E121=""),"",IF(AND($D121&lt;=F$7+6,$E121&gt;=F$7),IF('Plan de Tareas'!$J120="Completada",2,1),""))</f>
        <v/>
      </c>
      <c r="G121" s="36" t="str">
        <f>IF(OR($D121="",$E121=""),"",IF(AND($D121&lt;=G$7+6,$E121&gt;=G$7),IF('Plan de Tareas'!$J120="Completada",2,1),""))</f>
        <v/>
      </c>
      <c r="H121" s="36" t="str">
        <f>IF(OR($D121="",$E121=""),"",IF(AND($D121&lt;=H$7+6,$E121&gt;=H$7),IF('Plan de Tareas'!$J120="Completada",2,1),""))</f>
        <v/>
      </c>
      <c r="I121" s="36" t="str">
        <f>IF(OR($D121="",$E121=""),"",IF(AND($D121&lt;=I$7+6,$E121&gt;=I$7),IF('Plan de Tareas'!$J120="Completada",2,1),""))</f>
        <v/>
      </c>
      <c r="J121" s="36" t="str">
        <f>IF(OR($D121="",$E121=""),"",IF(AND($D121&lt;=J$7+6,$E121&gt;=J$7),IF('Plan de Tareas'!$J120="Completada",2,1),""))</f>
        <v/>
      </c>
      <c r="K121" s="36" t="str">
        <f>IF(OR($D121="",$E121=""),"",IF(AND($D121&lt;=K$7+6,$E121&gt;=K$7),IF('Plan de Tareas'!$J120="Completada",2,1),""))</f>
        <v/>
      </c>
      <c r="L121" s="36" t="str">
        <f>IF(OR($D121="",$E121=""),"",IF(AND($D121&lt;=L$7+6,$E121&gt;=L$7),IF('Plan de Tareas'!$J120="Completada",2,1),""))</f>
        <v/>
      </c>
      <c r="M121" s="36" t="str">
        <f>IF(OR($D121="",$E121=""),"",IF(AND($D121&lt;=M$7+6,$E121&gt;=M$7),IF('Plan de Tareas'!$J120="Completada",2,1),""))</f>
        <v/>
      </c>
      <c r="N121" s="36" t="str">
        <f>IF(OR($D121="",$E121=""),"",IF(AND($D121&lt;=N$7+6,$E121&gt;=N$7),IF('Plan de Tareas'!$J120="Completada",2,1),""))</f>
        <v/>
      </c>
      <c r="O121" s="36" t="str">
        <f>IF(OR($D121="",$E121=""),"",IF(AND($D121&lt;=O$7+6,$E121&gt;=O$7),IF('Plan de Tareas'!$J120="Completada",2,1),""))</f>
        <v/>
      </c>
      <c r="P121" s="36" t="str">
        <f>IF(OR($D121="",$E121=""),"",IF(AND($D121&lt;=P$7+6,$E121&gt;=P$7),IF('Plan de Tareas'!$J120="Completada",2,1),""))</f>
        <v/>
      </c>
      <c r="Q121" s="36" t="str">
        <f>IF(OR($D121="",$E121=""),"",IF(AND($D121&lt;=Q$7+6,$E121&gt;=Q$7),IF('Plan de Tareas'!$J120="Completada",2,1),""))</f>
        <v/>
      </c>
      <c r="R121" s="36" t="str">
        <f>IF(OR($D121="",$E121=""),"",IF(AND($D121&lt;=R$7+6,$E121&gt;=R$7),IF('Plan de Tareas'!$J120="Completada",2,1),""))</f>
        <v/>
      </c>
      <c r="S121" s="36" t="str">
        <f>IF(OR($D121="",$E121=""),"",IF(AND($D121&lt;=S$7+6,$E121&gt;=S$7),IF('Plan de Tareas'!$J120="Completada",2,1),""))</f>
        <v/>
      </c>
      <c r="T121" s="36" t="str">
        <f>IF(OR($D121="",$E121=""),"",IF(AND($D121&lt;=T$7+6,$E121&gt;=T$7),IF('Plan de Tareas'!$J120="Completada",2,1),""))</f>
        <v/>
      </c>
      <c r="U121" s="36" t="str">
        <f>IF(OR($D121="",$E121=""),"",IF(AND($D121&lt;=U$7+6,$E121&gt;=U$7),IF('Plan de Tareas'!$J120="Completada",2,1),""))</f>
        <v/>
      </c>
      <c r="V121" s="36" t="str">
        <f>IF(OR($D121="",$E121=""),"",IF(AND($D121&lt;=V$7+6,$E121&gt;=V$7),IF('Plan de Tareas'!$J120="Completada",2,1),""))</f>
        <v/>
      </c>
      <c r="W121" s="36" t="str">
        <f>IF(OR($D121="",$E121=""),"",IF(AND($D121&lt;=W$7+6,$E121&gt;=W$7),IF('Plan de Tareas'!$J120="Completada",2,1),""))</f>
        <v/>
      </c>
      <c r="X121" s="36" t="str">
        <f>IF(OR($D121="",$E121=""),"",IF(AND($D121&lt;=X$7+6,$E121&gt;=X$7),IF('Plan de Tareas'!$J120="Completada",2,1),""))</f>
        <v/>
      </c>
      <c r="Y121" s="36" t="str">
        <f>IF(OR($D121="",$E121=""),"",IF(AND($D121&lt;=Y$7+6,$E121&gt;=Y$7),IF('Plan de Tareas'!$J120="Completada",2,1),""))</f>
        <v/>
      </c>
      <c r="Z121" s="36" t="str">
        <f>IF(OR($D121="",$E121=""),"",IF(AND($D121&lt;=Z$7+6,$E121&gt;=Z$7),IF('Plan de Tareas'!$J120="Completada",2,1),""))</f>
        <v/>
      </c>
      <c r="AA121" s="36" t="str">
        <f>IF(OR($D121="",$E121=""),"",IF(AND($D121&lt;=AA$7+6,$E121&gt;=AA$7),IF('Plan de Tareas'!$J120="Completada",2,1),""))</f>
        <v/>
      </c>
      <c r="AB121" s="36" t="str">
        <f>IF(OR($D121="",$E121=""),"",IF(AND($D121&lt;=AB$7+6,$E121&gt;=AB$7),IF('Plan de Tareas'!$J120="Completada",2,1),""))</f>
        <v/>
      </c>
      <c r="AC121" s="36" t="str">
        <f>IF(OR($D121="",$E121=""),"",IF(AND($D121&lt;=AC$7+6,$E121&gt;=AC$7),IF('Plan de Tareas'!$J120="Completada",2,1),""))</f>
        <v/>
      </c>
      <c r="AD121" s="36" t="str">
        <f>IF(OR($D121="",$E121=""),"",IF(AND($D121&lt;=AD$7+6,$E121&gt;=AD$7),IF('Plan de Tareas'!$J120="Completada",2,1),""))</f>
        <v/>
      </c>
      <c r="AE121" s="36" t="str">
        <f>IF(OR($D121="",$E121=""),"",IF(AND($D121&lt;=AE$7+6,$E121&gt;=AE$7),IF('Plan de Tareas'!$J120="Completada",2,1),""))</f>
        <v/>
      </c>
    </row>
    <row r="122" spans="1:31" ht="15" customHeight="1" x14ac:dyDescent="0.3">
      <c r="A122" s="34" t="str">
        <f>IF('Plan de Tareas'!$C121="","",'Plan de Tareas'!$A121)</f>
        <v/>
      </c>
      <c r="B122" s="20" t="str">
        <f>IF('Plan de Tareas'!$C121="","",'Plan de Tareas'!$C121)</f>
        <v/>
      </c>
      <c r="C122" s="20" t="str">
        <f>IF('Plan de Tareas'!$C121="","",'Plan de Tareas'!$D121)</f>
        <v/>
      </c>
      <c r="D122" s="35" t="str">
        <f>IF('Plan de Tareas'!$F121="","",'Plan de Tareas'!$F121)</f>
        <v/>
      </c>
      <c r="E122" s="35" t="str">
        <f>IF('Plan de Tareas'!$G121="","",'Plan de Tareas'!$G121)</f>
        <v/>
      </c>
      <c r="F122" s="36" t="str">
        <f>IF(OR($D122="",$E122=""),"",IF(AND($D122&lt;=F$7+6,$E122&gt;=F$7),IF('Plan de Tareas'!$J121="Completada",2,1),""))</f>
        <v/>
      </c>
      <c r="G122" s="36" t="str">
        <f>IF(OR($D122="",$E122=""),"",IF(AND($D122&lt;=G$7+6,$E122&gt;=G$7),IF('Plan de Tareas'!$J121="Completada",2,1),""))</f>
        <v/>
      </c>
      <c r="H122" s="36" t="str">
        <f>IF(OR($D122="",$E122=""),"",IF(AND($D122&lt;=H$7+6,$E122&gt;=H$7),IF('Plan de Tareas'!$J121="Completada",2,1),""))</f>
        <v/>
      </c>
      <c r="I122" s="36" t="str">
        <f>IF(OR($D122="",$E122=""),"",IF(AND($D122&lt;=I$7+6,$E122&gt;=I$7),IF('Plan de Tareas'!$J121="Completada",2,1),""))</f>
        <v/>
      </c>
      <c r="J122" s="36" t="str">
        <f>IF(OR($D122="",$E122=""),"",IF(AND($D122&lt;=J$7+6,$E122&gt;=J$7),IF('Plan de Tareas'!$J121="Completada",2,1),""))</f>
        <v/>
      </c>
      <c r="K122" s="36" t="str">
        <f>IF(OR($D122="",$E122=""),"",IF(AND($D122&lt;=K$7+6,$E122&gt;=K$7),IF('Plan de Tareas'!$J121="Completada",2,1),""))</f>
        <v/>
      </c>
      <c r="L122" s="36" t="str">
        <f>IF(OR($D122="",$E122=""),"",IF(AND($D122&lt;=L$7+6,$E122&gt;=L$7),IF('Plan de Tareas'!$J121="Completada",2,1),""))</f>
        <v/>
      </c>
      <c r="M122" s="36" t="str">
        <f>IF(OR($D122="",$E122=""),"",IF(AND($D122&lt;=M$7+6,$E122&gt;=M$7),IF('Plan de Tareas'!$J121="Completada",2,1),""))</f>
        <v/>
      </c>
      <c r="N122" s="36" t="str">
        <f>IF(OR($D122="",$E122=""),"",IF(AND($D122&lt;=N$7+6,$E122&gt;=N$7),IF('Plan de Tareas'!$J121="Completada",2,1),""))</f>
        <v/>
      </c>
      <c r="O122" s="36" t="str">
        <f>IF(OR($D122="",$E122=""),"",IF(AND($D122&lt;=O$7+6,$E122&gt;=O$7),IF('Plan de Tareas'!$J121="Completada",2,1),""))</f>
        <v/>
      </c>
      <c r="P122" s="36" t="str">
        <f>IF(OR($D122="",$E122=""),"",IF(AND($D122&lt;=P$7+6,$E122&gt;=P$7),IF('Plan de Tareas'!$J121="Completada",2,1),""))</f>
        <v/>
      </c>
      <c r="Q122" s="36" t="str">
        <f>IF(OR($D122="",$E122=""),"",IF(AND($D122&lt;=Q$7+6,$E122&gt;=Q$7),IF('Plan de Tareas'!$J121="Completada",2,1),""))</f>
        <v/>
      </c>
      <c r="R122" s="36" t="str">
        <f>IF(OR($D122="",$E122=""),"",IF(AND($D122&lt;=R$7+6,$E122&gt;=R$7),IF('Plan de Tareas'!$J121="Completada",2,1),""))</f>
        <v/>
      </c>
      <c r="S122" s="36" t="str">
        <f>IF(OR($D122="",$E122=""),"",IF(AND($D122&lt;=S$7+6,$E122&gt;=S$7),IF('Plan de Tareas'!$J121="Completada",2,1),""))</f>
        <v/>
      </c>
      <c r="T122" s="36" t="str">
        <f>IF(OR($D122="",$E122=""),"",IF(AND($D122&lt;=T$7+6,$E122&gt;=T$7),IF('Plan de Tareas'!$J121="Completada",2,1),""))</f>
        <v/>
      </c>
      <c r="U122" s="36" t="str">
        <f>IF(OR($D122="",$E122=""),"",IF(AND($D122&lt;=U$7+6,$E122&gt;=U$7),IF('Plan de Tareas'!$J121="Completada",2,1),""))</f>
        <v/>
      </c>
      <c r="V122" s="36" t="str">
        <f>IF(OR($D122="",$E122=""),"",IF(AND($D122&lt;=V$7+6,$E122&gt;=V$7),IF('Plan de Tareas'!$J121="Completada",2,1),""))</f>
        <v/>
      </c>
      <c r="W122" s="36" t="str">
        <f>IF(OR($D122="",$E122=""),"",IF(AND($D122&lt;=W$7+6,$E122&gt;=W$7),IF('Plan de Tareas'!$J121="Completada",2,1),""))</f>
        <v/>
      </c>
      <c r="X122" s="36" t="str">
        <f>IF(OR($D122="",$E122=""),"",IF(AND($D122&lt;=X$7+6,$E122&gt;=X$7),IF('Plan de Tareas'!$J121="Completada",2,1),""))</f>
        <v/>
      </c>
      <c r="Y122" s="36" t="str">
        <f>IF(OR($D122="",$E122=""),"",IF(AND($D122&lt;=Y$7+6,$E122&gt;=Y$7),IF('Plan de Tareas'!$J121="Completada",2,1),""))</f>
        <v/>
      </c>
      <c r="Z122" s="36" t="str">
        <f>IF(OR($D122="",$E122=""),"",IF(AND($D122&lt;=Z$7+6,$E122&gt;=Z$7),IF('Plan de Tareas'!$J121="Completada",2,1),""))</f>
        <v/>
      </c>
      <c r="AA122" s="36" t="str">
        <f>IF(OR($D122="",$E122=""),"",IF(AND($D122&lt;=AA$7+6,$E122&gt;=AA$7),IF('Plan de Tareas'!$J121="Completada",2,1),""))</f>
        <v/>
      </c>
      <c r="AB122" s="36" t="str">
        <f>IF(OR($D122="",$E122=""),"",IF(AND($D122&lt;=AB$7+6,$E122&gt;=AB$7),IF('Plan de Tareas'!$J121="Completada",2,1),""))</f>
        <v/>
      </c>
      <c r="AC122" s="36" t="str">
        <f>IF(OR($D122="",$E122=""),"",IF(AND($D122&lt;=AC$7+6,$E122&gt;=AC$7),IF('Plan de Tareas'!$J121="Completada",2,1),""))</f>
        <v/>
      </c>
      <c r="AD122" s="36" t="str">
        <f>IF(OR($D122="",$E122=""),"",IF(AND($D122&lt;=AD$7+6,$E122&gt;=AD$7),IF('Plan de Tareas'!$J121="Completada",2,1),""))</f>
        <v/>
      </c>
      <c r="AE122" s="36" t="str">
        <f>IF(OR($D122="",$E122=""),"",IF(AND($D122&lt;=AE$7+6,$E122&gt;=AE$7),IF('Plan de Tareas'!$J121="Completada",2,1),""))</f>
        <v/>
      </c>
    </row>
    <row r="123" spans="1:31" ht="15" customHeight="1" x14ac:dyDescent="0.3">
      <c r="A123" s="37" t="str">
        <f>IF('Plan de Tareas'!$C122="","",'Plan de Tareas'!$A122)</f>
        <v/>
      </c>
      <c r="B123" s="26" t="str">
        <f>IF('Plan de Tareas'!$C122="","",'Plan de Tareas'!$C122)</f>
        <v/>
      </c>
      <c r="C123" s="26" t="str">
        <f>IF('Plan de Tareas'!$C122="","",'Plan de Tareas'!$D122)</f>
        <v/>
      </c>
      <c r="D123" s="38" t="str">
        <f>IF('Plan de Tareas'!$F122="","",'Plan de Tareas'!$F122)</f>
        <v/>
      </c>
      <c r="E123" s="38" t="str">
        <f>IF('Plan de Tareas'!$G122="","",'Plan de Tareas'!$G122)</f>
        <v/>
      </c>
      <c r="F123" s="36" t="str">
        <f>IF(OR($D123="",$E123=""),"",IF(AND($D123&lt;=F$7+6,$E123&gt;=F$7),IF('Plan de Tareas'!$J122="Completada",2,1),""))</f>
        <v/>
      </c>
      <c r="G123" s="36" t="str">
        <f>IF(OR($D123="",$E123=""),"",IF(AND($D123&lt;=G$7+6,$E123&gt;=G$7),IF('Plan de Tareas'!$J122="Completada",2,1),""))</f>
        <v/>
      </c>
      <c r="H123" s="36" t="str">
        <f>IF(OR($D123="",$E123=""),"",IF(AND($D123&lt;=H$7+6,$E123&gt;=H$7),IF('Plan de Tareas'!$J122="Completada",2,1),""))</f>
        <v/>
      </c>
      <c r="I123" s="36" t="str">
        <f>IF(OR($D123="",$E123=""),"",IF(AND($D123&lt;=I$7+6,$E123&gt;=I$7),IF('Plan de Tareas'!$J122="Completada",2,1),""))</f>
        <v/>
      </c>
      <c r="J123" s="36" t="str">
        <f>IF(OR($D123="",$E123=""),"",IF(AND($D123&lt;=J$7+6,$E123&gt;=J$7),IF('Plan de Tareas'!$J122="Completada",2,1),""))</f>
        <v/>
      </c>
      <c r="K123" s="36" t="str">
        <f>IF(OR($D123="",$E123=""),"",IF(AND($D123&lt;=K$7+6,$E123&gt;=K$7),IF('Plan de Tareas'!$J122="Completada",2,1),""))</f>
        <v/>
      </c>
      <c r="L123" s="36" t="str">
        <f>IF(OR($D123="",$E123=""),"",IF(AND($D123&lt;=L$7+6,$E123&gt;=L$7),IF('Plan de Tareas'!$J122="Completada",2,1),""))</f>
        <v/>
      </c>
      <c r="M123" s="36" t="str">
        <f>IF(OR($D123="",$E123=""),"",IF(AND($D123&lt;=M$7+6,$E123&gt;=M$7),IF('Plan de Tareas'!$J122="Completada",2,1),""))</f>
        <v/>
      </c>
      <c r="N123" s="36" t="str">
        <f>IF(OR($D123="",$E123=""),"",IF(AND($D123&lt;=N$7+6,$E123&gt;=N$7),IF('Plan de Tareas'!$J122="Completada",2,1),""))</f>
        <v/>
      </c>
      <c r="O123" s="36" t="str">
        <f>IF(OR($D123="",$E123=""),"",IF(AND($D123&lt;=O$7+6,$E123&gt;=O$7),IF('Plan de Tareas'!$J122="Completada",2,1),""))</f>
        <v/>
      </c>
      <c r="P123" s="36" t="str">
        <f>IF(OR($D123="",$E123=""),"",IF(AND($D123&lt;=P$7+6,$E123&gt;=P$7),IF('Plan de Tareas'!$J122="Completada",2,1),""))</f>
        <v/>
      </c>
      <c r="Q123" s="36" t="str">
        <f>IF(OR($D123="",$E123=""),"",IF(AND($D123&lt;=Q$7+6,$E123&gt;=Q$7),IF('Plan de Tareas'!$J122="Completada",2,1),""))</f>
        <v/>
      </c>
      <c r="R123" s="36" t="str">
        <f>IF(OR($D123="",$E123=""),"",IF(AND($D123&lt;=R$7+6,$E123&gt;=R$7),IF('Plan de Tareas'!$J122="Completada",2,1),""))</f>
        <v/>
      </c>
      <c r="S123" s="36" t="str">
        <f>IF(OR($D123="",$E123=""),"",IF(AND($D123&lt;=S$7+6,$E123&gt;=S$7),IF('Plan de Tareas'!$J122="Completada",2,1),""))</f>
        <v/>
      </c>
      <c r="T123" s="36" t="str">
        <f>IF(OR($D123="",$E123=""),"",IF(AND($D123&lt;=T$7+6,$E123&gt;=T$7),IF('Plan de Tareas'!$J122="Completada",2,1),""))</f>
        <v/>
      </c>
      <c r="U123" s="36" t="str">
        <f>IF(OR($D123="",$E123=""),"",IF(AND($D123&lt;=U$7+6,$E123&gt;=U$7),IF('Plan de Tareas'!$J122="Completada",2,1),""))</f>
        <v/>
      </c>
      <c r="V123" s="36" t="str">
        <f>IF(OR($D123="",$E123=""),"",IF(AND($D123&lt;=V$7+6,$E123&gt;=V$7),IF('Plan de Tareas'!$J122="Completada",2,1),""))</f>
        <v/>
      </c>
      <c r="W123" s="36" t="str">
        <f>IF(OR($D123="",$E123=""),"",IF(AND($D123&lt;=W$7+6,$E123&gt;=W$7),IF('Plan de Tareas'!$J122="Completada",2,1),""))</f>
        <v/>
      </c>
      <c r="X123" s="36" t="str">
        <f>IF(OR($D123="",$E123=""),"",IF(AND($D123&lt;=X$7+6,$E123&gt;=X$7),IF('Plan de Tareas'!$J122="Completada",2,1),""))</f>
        <v/>
      </c>
      <c r="Y123" s="36" t="str">
        <f>IF(OR($D123="",$E123=""),"",IF(AND($D123&lt;=Y$7+6,$E123&gt;=Y$7),IF('Plan de Tareas'!$J122="Completada",2,1),""))</f>
        <v/>
      </c>
      <c r="Z123" s="36" t="str">
        <f>IF(OR($D123="",$E123=""),"",IF(AND($D123&lt;=Z$7+6,$E123&gt;=Z$7),IF('Plan de Tareas'!$J122="Completada",2,1),""))</f>
        <v/>
      </c>
      <c r="AA123" s="36" t="str">
        <f>IF(OR($D123="",$E123=""),"",IF(AND($D123&lt;=AA$7+6,$E123&gt;=AA$7),IF('Plan de Tareas'!$J122="Completada",2,1),""))</f>
        <v/>
      </c>
      <c r="AB123" s="36" t="str">
        <f>IF(OR($D123="",$E123=""),"",IF(AND($D123&lt;=AB$7+6,$E123&gt;=AB$7),IF('Plan de Tareas'!$J122="Completada",2,1),""))</f>
        <v/>
      </c>
      <c r="AC123" s="36" t="str">
        <f>IF(OR($D123="",$E123=""),"",IF(AND($D123&lt;=AC$7+6,$E123&gt;=AC$7),IF('Plan de Tareas'!$J122="Completada",2,1),""))</f>
        <v/>
      </c>
      <c r="AD123" s="36" t="str">
        <f>IF(OR($D123="",$E123=""),"",IF(AND($D123&lt;=AD$7+6,$E123&gt;=AD$7),IF('Plan de Tareas'!$J122="Completada",2,1),""))</f>
        <v/>
      </c>
      <c r="AE123" s="36" t="str">
        <f>IF(OR($D123="",$E123=""),"",IF(AND($D123&lt;=AE$7+6,$E123&gt;=AE$7),IF('Plan de Tareas'!$J122="Completada",2,1),""))</f>
        <v/>
      </c>
    </row>
    <row r="124" spans="1:31" ht="15" customHeight="1" x14ac:dyDescent="0.3">
      <c r="A124" s="34" t="str">
        <f>IF('Plan de Tareas'!$C123="","",'Plan de Tareas'!$A123)</f>
        <v/>
      </c>
      <c r="B124" s="20" t="str">
        <f>IF('Plan de Tareas'!$C123="","",'Plan de Tareas'!$C123)</f>
        <v/>
      </c>
      <c r="C124" s="20" t="str">
        <f>IF('Plan de Tareas'!$C123="","",'Plan de Tareas'!$D123)</f>
        <v/>
      </c>
      <c r="D124" s="35" t="str">
        <f>IF('Plan de Tareas'!$F123="","",'Plan de Tareas'!$F123)</f>
        <v/>
      </c>
      <c r="E124" s="35" t="str">
        <f>IF('Plan de Tareas'!$G123="","",'Plan de Tareas'!$G123)</f>
        <v/>
      </c>
      <c r="F124" s="36" t="str">
        <f>IF(OR($D124="",$E124=""),"",IF(AND($D124&lt;=F$7+6,$E124&gt;=F$7),IF('Plan de Tareas'!$J123="Completada",2,1),""))</f>
        <v/>
      </c>
      <c r="G124" s="36" t="str">
        <f>IF(OR($D124="",$E124=""),"",IF(AND($D124&lt;=G$7+6,$E124&gt;=G$7),IF('Plan de Tareas'!$J123="Completada",2,1),""))</f>
        <v/>
      </c>
      <c r="H124" s="36" t="str">
        <f>IF(OR($D124="",$E124=""),"",IF(AND($D124&lt;=H$7+6,$E124&gt;=H$7),IF('Plan de Tareas'!$J123="Completada",2,1),""))</f>
        <v/>
      </c>
      <c r="I124" s="36" t="str">
        <f>IF(OR($D124="",$E124=""),"",IF(AND($D124&lt;=I$7+6,$E124&gt;=I$7),IF('Plan de Tareas'!$J123="Completada",2,1),""))</f>
        <v/>
      </c>
      <c r="J124" s="36" t="str">
        <f>IF(OR($D124="",$E124=""),"",IF(AND($D124&lt;=J$7+6,$E124&gt;=J$7),IF('Plan de Tareas'!$J123="Completada",2,1),""))</f>
        <v/>
      </c>
      <c r="K124" s="36" t="str">
        <f>IF(OR($D124="",$E124=""),"",IF(AND($D124&lt;=K$7+6,$E124&gt;=K$7),IF('Plan de Tareas'!$J123="Completada",2,1),""))</f>
        <v/>
      </c>
      <c r="L124" s="36" t="str">
        <f>IF(OR($D124="",$E124=""),"",IF(AND($D124&lt;=L$7+6,$E124&gt;=L$7),IF('Plan de Tareas'!$J123="Completada",2,1),""))</f>
        <v/>
      </c>
      <c r="M124" s="36" t="str">
        <f>IF(OR($D124="",$E124=""),"",IF(AND($D124&lt;=M$7+6,$E124&gt;=M$7),IF('Plan de Tareas'!$J123="Completada",2,1),""))</f>
        <v/>
      </c>
      <c r="N124" s="36" t="str">
        <f>IF(OR($D124="",$E124=""),"",IF(AND($D124&lt;=N$7+6,$E124&gt;=N$7),IF('Plan de Tareas'!$J123="Completada",2,1),""))</f>
        <v/>
      </c>
      <c r="O124" s="36" t="str">
        <f>IF(OR($D124="",$E124=""),"",IF(AND($D124&lt;=O$7+6,$E124&gt;=O$7),IF('Plan de Tareas'!$J123="Completada",2,1),""))</f>
        <v/>
      </c>
      <c r="P124" s="36" t="str">
        <f>IF(OR($D124="",$E124=""),"",IF(AND($D124&lt;=P$7+6,$E124&gt;=P$7),IF('Plan de Tareas'!$J123="Completada",2,1),""))</f>
        <v/>
      </c>
      <c r="Q124" s="36" t="str">
        <f>IF(OR($D124="",$E124=""),"",IF(AND($D124&lt;=Q$7+6,$E124&gt;=Q$7),IF('Plan de Tareas'!$J123="Completada",2,1),""))</f>
        <v/>
      </c>
      <c r="R124" s="36" t="str">
        <f>IF(OR($D124="",$E124=""),"",IF(AND($D124&lt;=R$7+6,$E124&gt;=R$7),IF('Plan de Tareas'!$J123="Completada",2,1),""))</f>
        <v/>
      </c>
      <c r="S124" s="36" t="str">
        <f>IF(OR($D124="",$E124=""),"",IF(AND($D124&lt;=S$7+6,$E124&gt;=S$7),IF('Plan de Tareas'!$J123="Completada",2,1),""))</f>
        <v/>
      </c>
      <c r="T124" s="36" t="str">
        <f>IF(OR($D124="",$E124=""),"",IF(AND($D124&lt;=T$7+6,$E124&gt;=T$7),IF('Plan de Tareas'!$J123="Completada",2,1),""))</f>
        <v/>
      </c>
      <c r="U124" s="36" t="str">
        <f>IF(OR($D124="",$E124=""),"",IF(AND($D124&lt;=U$7+6,$E124&gt;=U$7),IF('Plan de Tareas'!$J123="Completada",2,1),""))</f>
        <v/>
      </c>
      <c r="V124" s="36" t="str">
        <f>IF(OR($D124="",$E124=""),"",IF(AND($D124&lt;=V$7+6,$E124&gt;=V$7),IF('Plan de Tareas'!$J123="Completada",2,1),""))</f>
        <v/>
      </c>
      <c r="W124" s="36" t="str">
        <f>IF(OR($D124="",$E124=""),"",IF(AND($D124&lt;=W$7+6,$E124&gt;=W$7),IF('Plan de Tareas'!$J123="Completada",2,1),""))</f>
        <v/>
      </c>
      <c r="X124" s="36" t="str">
        <f>IF(OR($D124="",$E124=""),"",IF(AND($D124&lt;=X$7+6,$E124&gt;=X$7),IF('Plan de Tareas'!$J123="Completada",2,1),""))</f>
        <v/>
      </c>
      <c r="Y124" s="36" t="str">
        <f>IF(OR($D124="",$E124=""),"",IF(AND($D124&lt;=Y$7+6,$E124&gt;=Y$7),IF('Plan de Tareas'!$J123="Completada",2,1),""))</f>
        <v/>
      </c>
      <c r="Z124" s="36" t="str">
        <f>IF(OR($D124="",$E124=""),"",IF(AND($D124&lt;=Z$7+6,$E124&gt;=Z$7),IF('Plan de Tareas'!$J123="Completada",2,1),""))</f>
        <v/>
      </c>
      <c r="AA124" s="36" t="str">
        <f>IF(OR($D124="",$E124=""),"",IF(AND($D124&lt;=AA$7+6,$E124&gt;=AA$7),IF('Plan de Tareas'!$J123="Completada",2,1),""))</f>
        <v/>
      </c>
      <c r="AB124" s="36" t="str">
        <f>IF(OR($D124="",$E124=""),"",IF(AND($D124&lt;=AB$7+6,$E124&gt;=AB$7),IF('Plan de Tareas'!$J123="Completada",2,1),""))</f>
        <v/>
      </c>
      <c r="AC124" s="36" t="str">
        <f>IF(OR($D124="",$E124=""),"",IF(AND($D124&lt;=AC$7+6,$E124&gt;=AC$7),IF('Plan de Tareas'!$J123="Completada",2,1),""))</f>
        <v/>
      </c>
      <c r="AD124" s="36" t="str">
        <f>IF(OR($D124="",$E124=""),"",IF(AND($D124&lt;=AD$7+6,$E124&gt;=AD$7),IF('Plan de Tareas'!$J123="Completada",2,1),""))</f>
        <v/>
      </c>
      <c r="AE124" s="36" t="str">
        <f>IF(OR($D124="",$E124=""),"",IF(AND($D124&lt;=AE$7+6,$E124&gt;=AE$7),IF('Plan de Tareas'!$J123="Completada",2,1),""))</f>
        <v/>
      </c>
    </row>
    <row r="125" spans="1:31" ht="15" customHeight="1" x14ac:dyDescent="0.3">
      <c r="A125" s="37" t="str">
        <f>IF('Plan de Tareas'!$C124="","",'Plan de Tareas'!$A124)</f>
        <v/>
      </c>
      <c r="B125" s="26" t="str">
        <f>IF('Plan de Tareas'!$C124="","",'Plan de Tareas'!$C124)</f>
        <v/>
      </c>
      <c r="C125" s="26" t="str">
        <f>IF('Plan de Tareas'!$C124="","",'Plan de Tareas'!$D124)</f>
        <v/>
      </c>
      <c r="D125" s="38" t="str">
        <f>IF('Plan de Tareas'!$F124="","",'Plan de Tareas'!$F124)</f>
        <v/>
      </c>
      <c r="E125" s="38" t="str">
        <f>IF('Plan de Tareas'!$G124="","",'Plan de Tareas'!$G124)</f>
        <v/>
      </c>
      <c r="F125" s="36" t="str">
        <f>IF(OR($D125="",$E125=""),"",IF(AND($D125&lt;=F$7+6,$E125&gt;=F$7),IF('Plan de Tareas'!$J124="Completada",2,1),""))</f>
        <v/>
      </c>
      <c r="G125" s="36" t="str">
        <f>IF(OR($D125="",$E125=""),"",IF(AND($D125&lt;=G$7+6,$E125&gt;=G$7),IF('Plan de Tareas'!$J124="Completada",2,1),""))</f>
        <v/>
      </c>
      <c r="H125" s="36" t="str">
        <f>IF(OR($D125="",$E125=""),"",IF(AND($D125&lt;=H$7+6,$E125&gt;=H$7),IF('Plan de Tareas'!$J124="Completada",2,1),""))</f>
        <v/>
      </c>
      <c r="I125" s="36" t="str">
        <f>IF(OR($D125="",$E125=""),"",IF(AND($D125&lt;=I$7+6,$E125&gt;=I$7),IF('Plan de Tareas'!$J124="Completada",2,1),""))</f>
        <v/>
      </c>
      <c r="J125" s="36" t="str">
        <f>IF(OR($D125="",$E125=""),"",IF(AND($D125&lt;=J$7+6,$E125&gt;=J$7),IF('Plan de Tareas'!$J124="Completada",2,1),""))</f>
        <v/>
      </c>
      <c r="K125" s="36" t="str">
        <f>IF(OR($D125="",$E125=""),"",IF(AND($D125&lt;=K$7+6,$E125&gt;=K$7),IF('Plan de Tareas'!$J124="Completada",2,1),""))</f>
        <v/>
      </c>
      <c r="L125" s="36" t="str">
        <f>IF(OR($D125="",$E125=""),"",IF(AND($D125&lt;=L$7+6,$E125&gt;=L$7),IF('Plan de Tareas'!$J124="Completada",2,1),""))</f>
        <v/>
      </c>
      <c r="M125" s="36" t="str">
        <f>IF(OR($D125="",$E125=""),"",IF(AND($D125&lt;=M$7+6,$E125&gt;=M$7),IF('Plan de Tareas'!$J124="Completada",2,1),""))</f>
        <v/>
      </c>
      <c r="N125" s="36" t="str">
        <f>IF(OR($D125="",$E125=""),"",IF(AND($D125&lt;=N$7+6,$E125&gt;=N$7),IF('Plan de Tareas'!$J124="Completada",2,1),""))</f>
        <v/>
      </c>
      <c r="O125" s="36" t="str">
        <f>IF(OR($D125="",$E125=""),"",IF(AND($D125&lt;=O$7+6,$E125&gt;=O$7),IF('Plan de Tareas'!$J124="Completada",2,1),""))</f>
        <v/>
      </c>
      <c r="P125" s="36" t="str">
        <f>IF(OR($D125="",$E125=""),"",IF(AND($D125&lt;=P$7+6,$E125&gt;=P$7),IF('Plan de Tareas'!$J124="Completada",2,1),""))</f>
        <v/>
      </c>
      <c r="Q125" s="36" t="str">
        <f>IF(OR($D125="",$E125=""),"",IF(AND($D125&lt;=Q$7+6,$E125&gt;=Q$7),IF('Plan de Tareas'!$J124="Completada",2,1),""))</f>
        <v/>
      </c>
      <c r="R125" s="36" t="str">
        <f>IF(OR($D125="",$E125=""),"",IF(AND($D125&lt;=R$7+6,$E125&gt;=R$7),IF('Plan de Tareas'!$J124="Completada",2,1),""))</f>
        <v/>
      </c>
      <c r="S125" s="36" t="str">
        <f>IF(OR($D125="",$E125=""),"",IF(AND($D125&lt;=S$7+6,$E125&gt;=S$7),IF('Plan de Tareas'!$J124="Completada",2,1),""))</f>
        <v/>
      </c>
      <c r="T125" s="36" t="str">
        <f>IF(OR($D125="",$E125=""),"",IF(AND($D125&lt;=T$7+6,$E125&gt;=T$7),IF('Plan de Tareas'!$J124="Completada",2,1),""))</f>
        <v/>
      </c>
      <c r="U125" s="36" t="str">
        <f>IF(OR($D125="",$E125=""),"",IF(AND($D125&lt;=U$7+6,$E125&gt;=U$7),IF('Plan de Tareas'!$J124="Completada",2,1),""))</f>
        <v/>
      </c>
      <c r="V125" s="36" t="str">
        <f>IF(OR($D125="",$E125=""),"",IF(AND($D125&lt;=V$7+6,$E125&gt;=V$7),IF('Plan de Tareas'!$J124="Completada",2,1),""))</f>
        <v/>
      </c>
      <c r="W125" s="36" t="str">
        <f>IF(OR($D125="",$E125=""),"",IF(AND($D125&lt;=W$7+6,$E125&gt;=W$7),IF('Plan de Tareas'!$J124="Completada",2,1),""))</f>
        <v/>
      </c>
      <c r="X125" s="36" t="str">
        <f>IF(OR($D125="",$E125=""),"",IF(AND($D125&lt;=X$7+6,$E125&gt;=X$7),IF('Plan de Tareas'!$J124="Completada",2,1),""))</f>
        <v/>
      </c>
      <c r="Y125" s="36" t="str">
        <f>IF(OR($D125="",$E125=""),"",IF(AND($D125&lt;=Y$7+6,$E125&gt;=Y$7),IF('Plan de Tareas'!$J124="Completada",2,1),""))</f>
        <v/>
      </c>
      <c r="Z125" s="36" t="str">
        <f>IF(OR($D125="",$E125=""),"",IF(AND($D125&lt;=Z$7+6,$E125&gt;=Z$7),IF('Plan de Tareas'!$J124="Completada",2,1),""))</f>
        <v/>
      </c>
      <c r="AA125" s="36" t="str">
        <f>IF(OR($D125="",$E125=""),"",IF(AND($D125&lt;=AA$7+6,$E125&gt;=AA$7),IF('Plan de Tareas'!$J124="Completada",2,1),""))</f>
        <v/>
      </c>
      <c r="AB125" s="36" t="str">
        <f>IF(OR($D125="",$E125=""),"",IF(AND($D125&lt;=AB$7+6,$E125&gt;=AB$7),IF('Plan de Tareas'!$J124="Completada",2,1),""))</f>
        <v/>
      </c>
      <c r="AC125" s="36" t="str">
        <f>IF(OR($D125="",$E125=""),"",IF(AND($D125&lt;=AC$7+6,$E125&gt;=AC$7),IF('Plan de Tareas'!$J124="Completada",2,1),""))</f>
        <v/>
      </c>
      <c r="AD125" s="36" t="str">
        <f>IF(OR($D125="",$E125=""),"",IF(AND($D125&lt;=AD$7+6,$E125&gt;=AD$7),IF('Plan de Tareas'!$J124="Completada",2,1),""))</f>
        <v/>
      </c>
      <c r="AE125" s="36" t="str">
        <f>IF(OR($D125="",$E125=""),"",IF(AND($D125&lt;=AE$7+6,$E125&gt;=AE$7),IF('Plan de Tareas'!$J124="Completada",2,1),""))</f>
        <v/>
      </c>
    </row>
    <row r="126" spans="1:31" ht="15" customHeight="1" x14ac:dyDescent="0.3">
      <c r="A126" s="34" t="str">
        <f>IF('Plan de Tareas'!$C125="","",'Plan de Tareas'!$A125)</f>
        <v/>
      </c>
      <c r="B126" s="20" t="str">
        <f>IF('Plan de Tareas'!$C125="","",'Plan de Tareas'!$C125)</f>
        <v/>
      </c>
      <c r="C126" s="20" t="str">
        <f>IF('Plan de Tareas'!$C125="","",'Plan de Tareas'!$D125)</f>
        <v/>
      </c>
      <c r="D126" s="35" t="str">
        <f>IF('Plan de Tareas'!$F125="","",'Plan de Tareas'!$F125)</f>
        <v/>
      </c>
      <c r="E126" s="35" t="str">
        <f>IF('Plan de Tareas'!$G125="","",'Plan de Tareas'!$G125)</f>
        <v/>
      </c>
      <c r="F126" s="36" t="str">
        <f>IF(OR($D126="",$E126=""),"",IF(AND($D126&lt;=F$7+6,$E126&gt;=F$7),IF('Plan de Tareas'!$J125="Completada",2,1),""))</f>
        <v/>
      </c>
      <c r="G126" s="36" t="str">
        <f>IF(OR($D126="",$E126=""),"",IF(AND($D126&lt;=G$7+6,$E126&gt;=G$7),IF('Plan de Tareas'!$J125="Completada",2,1),""))</f>
        <v/>
      </c>
      <c r="H126" s="36" t="str">
        <f>IF(OR($D126="",$E126=""),"",IF(AND($D126&lt;=H$7+6,$E126&gt;=H$7),IF('Plan de Tareas'!$J125="Completada",2,1),""))</f>
        <v/>
      </c>
      <c r="I126" s="36" t="str">
        <f>IF(OR($D126="",$E126=""),"",IF(AND($D126&lt;=I$7+6,$E126&gt;=I$7),IF('Plan de Tareas'!$J125="Completada",2,1),""))</f>
        <v/>
      </c>
      <c r="J126" s="36" t="str">
        <f>IF(OR($D126="",$E126=""),"",IF(AND($D126&lt;=J$7+6,$E126&gt;=J$7),IF('Plan de Tareas'!$J125="Completada",2,1),""))</f>
        <v/>
      </c>
      <c r="K126" s="36" t="str">
        <f>IF(OR($D126="",$E126=""),"",IF(AND($D126&lt;=K$7+6,$E126&gt;=K$7),IF('Plan de Tareas'!$J125="Completada",2,1),""))</f>
        <v/>
      </c>
      <c r="L126" s="36" t="str">
        <f>IF(OR($D126="",$E126=""),"",IF(AND($D126&lt;=L$7+6,$E126&gt;=L$7),IF('Plan de Tareas'!$J125="Completada",2,1),""))</f>
        <v/>
      </c>
      <c r="M126" s="36" t="str">
        <f>IF(OR($D126="",$E126=""),"",IF(AND($D126&lt;=M$7+6,$E126&gt;=M$7),IF('Plan de Tareas'!$J125="Completada",2,1),""))</f>
        <v/>
      </c>
      <c r="N126" s="36" t="str">
        <f>IF(OR($D126="",$E126=""),"",IF(AND($D126&lt;=N$7+6,$E126&gt;=N$7),IF('Plan de Tareas'!$J125="Completada",2,1),""))</f>
        <v/>
      </c>
      <c r="O126" s="36" t="str">
        <f>IF(OR($D126="",$E126=""),"",IF(AND($D126&lt;=O$7+6,$E126&gt;=O$7),IF('Plan de Tareas'!$J125="Completada",2,1),""))</f>
        <v/>
      </c>
      <c r="P126" s="36" t="str">
        <f>IF(OR($D126="",$E126=""),"",IF(AND($D126&lt;=P$7+6,$E126&gt;=P$7),IF('Plan de Tareas'!$J125="Completada",2,1),""))</f>
        <v/>
      </c>
      <c r="Q126" s="36" t="str">
        <f>IF(OR($D126="",$E126=""),"",IF(AND($D126&lt;=Q$7+6,$E126&gt;=Q$7),IF('Plan de Tareas'!$J125="Completada",2,1),""))</f>
        <v/>
      </c>
      <c r="R126" s="36" t="str">
        <f>IF(OR($D126="",$E126=""),"",IF(AND($D126&lt;=R$7+6,$E126&gt;=R$7),IF('Plan de Tareas'!$J125="Completada",2,1),""))</f>
        <v/>
      </c>
      <c r="S126" s="36" t="str">
        <f>IF(OR($D126="",$E126=""),"",IF(AND($D126&lt;=S$7+6,$E126&gt;=S$7),IF('Plan de Tareas'!$J125="Completada",2,1),""))</f>
        <v/>
      </c>
      <c r="T126" s="36" t="str">
        <f>IF(OR($D126="",$E126=""),"",IF(AND($D126&lt;=T$7+6,$E126&gt;=T$7),IF('Plan de Tareas'!$J125="Completada",2,1),""))</f>
        <v/>
      </c>
      <c r="U126" s="36" t="str">
        <f>IF(OR($D126="",$E126=""),"",IF(AND($D126&lt;=U$7+6,$E126&gt;=U$7),IF('Plan de Tareas'!$J125="Completada",2,1),""))</f>
        <v/>
      </c>
      <c r="V126" s="36" t="str">
        <f>IF(OR($D126="",$E126=""),"",IF(AND($D126&lt;=V$7+6,$E126&gt;=V$7),IF('Plan de Tareas'!$J125="Completada",2,1),""))</f>
        <v/>
      </c>
      <c r="W126" s="36" t="str">
        <f>IF(OR($D126="",$E126=""),"",IF(AND($D126&lt;=W$7+6,$E126&gt;=W$7),IF('Plan de Tareas'!$J125="Completada",2,1),""))</f>
        <v/>
      </c>
      <c r="X126" s="36" t="str">
        <f>IF(OR($D126="",$E126=""),"",IF(AND($D126&lt;=X$7+6,$E126&gt;=X$7),IF('Plan de Tareas'!$J125="Completada",2,1),""))</f>
        <v/>
      </c>
      <c r="Y126" s="36" t="str">
        <f>IF(OR($D126="",$E126=""),"",IF(AND($D126&lt;=Y$7+6,$E126&gt;=Y$7),IF('Plan de Tareas'!$J125="Completada",2,1),""))</f>
        <v/>
      </c>
      <c r="Z126" s="36" t="str">
        <f>IF(OR($D126="",$E126=""),"",IF(AND($D126&lt;=Z$7+6,$E126&gt;=Z$7),IF('Plan de Tareas'!$J125="Completada",2,1),""))</f>
        <v/>
      </c>
      <c r="AA126" s="36" t="str">
        <f>IF(OR($D126="",$E126=""),"",IF(AND($D126&lt;=AA$7+6,$E126&gt;=AA$7),IF('Plan de Tareas'!$J125="Completada",2,1),""))</f>
        <v/>
      </c>
      <c r="AB126" s="36" t="str">
        <f>IF(OR($D126="",$E126=""),"",IF(AND($D126&lt;=AB$7+6,$E126&gt;=AB$7),IF('Plan de Tareas'!$J125="Completada",2,1),""))</f>
        <v/>
      </c>
      <c r="AC126" s="36" t="str">
        <f>IF(OR($D126="",$E126=""),"",IF(AND($D126&lt;=AC$7+6,$E126&gt;=AC$7),IF('Plan de Tareas'!$J125="Completada",2,1),""))</f>
        <v/>
      </c>
      <c r="AD126" s="36" t="str">
        <f>IF(OR($D126="",$E126=""),"",IF(AND($D126&lt;=AD$7+6,$E126&gt;=AD$7),IF('Plan de Tareas'!$J125="Completada",2,1),""))</f>
        <v/>
      </c>
      <c r="AE126" s="36" t="str">
        <f>IF(OR($D126="",$E126=""),"",IF(AND($D126&lt;=AE$7+6,$E126&gt;=AE$7),IF('Plan de Tareas'!$J125="Completada",2,1),""))</f>
        <v/>
      </c>
    </row>
    <row r="127" spans="1:31" ht="15" customHeight="1" x14ac:dyDescent="0.3">
      <c r="A127" s="37" t="str">
        <f>IF('Plan de Tareas'!$C126="","",'Plan de Tareas'!$A126)</f>
        <v/>
      </c>
      <c r="B127" s="26" t="str">
        <f>IF('Plan de Tareas'!$C126="","",'Plan de Tareas'!$C126)</f>
        <v/>
      </c>
      <c r="C127" s="26" t="str">
        <f>IF('Plan de Tareas'!$C126="","",'Plan de Tareas'!$D126)</f>
        <v/>
      </c>
      <c r="D127" s="38" t="str">
        <f>IF('Plan de Tareas'!$F126="","",'Plan de Tareas'!$F126)</f>
        <v/>
      </c>
      <c r="E127" s="38" t="str">
        <f>IF('Plan de Tareas'!$G126="","",'Plan de Tareas'!$G126)</f>
        <v/>
      </c>
      <c r="F127" s="36" t="str">
        <f>IF(OR($D127="",$E127=""),"",IF(AND($D127&lt;=F$7+6,$E127&gt;=F$7),IF('Plan de Tareas'!$J126="Completada",2,1),""))</f>
        <v/>
      </c>
      <c r="G127" s="36" t="str">
        <f>IF(OR($D127="",$E127=""),"",IF(AND($D127&lt;=G$7+6,$E127&gt;=G$7),IF('Plan de Tareas'!$J126="Completada",2,1),""))</f>
        <v/>
      </c>
      <c r="H127" s="36" t="str">
        <f>IF(OR($D127="",$E127=""),"",IF(AND($D127&lt;=H$7+6,$E127&gt;=H$7),IF('Plan de Tareas'!$J126="Completada",2,1),""))</f>
        <v/>
      </c>
      <c r="I127" s="36" t="str">
        <f>IF(OR($D127="",$E127=""),"",IF(AND($D127&lt;=I$7+6,$E127&gt;=I$7),IF('Plan de Tareas'!$J126="Completada",2,1),""))</f>
        <v/>
      </c>
      <c r="J127" s="36" t="str">
        <f>IF(OR($D127="",$E127=""),"",IF(AND($D127&lt;=J$7+6,$E127&gt;=J$7),IF('Plan de Tareas'!$J126="Completada",2,1),""))</f>
        <v/>
      </c>
      <c r="K127" s="36" t="str">
        <f>IF(OR($D127="",$E127=""),"",IF(AND($D127&lt;=K$7+6,$E127&gt;=K$7),IF('Plan de Tareas'!$J126="Completada",2,1),""))</f>
        <v/>
      </c>
      <c r="L127" s="36" t="str">
        <f>IF(OR($D127="",$E127=""),"",IF(AND($D127&lt;=L$7+6,$E127&gt;=L$7),IF('Plan de Tareas'!$J126="Completada",2,1),""))</f>
        <v/>
      </c>
      <c r="M127" s="36" t="str">
        <f>IF(OR($D127="",$E127=""),"",IF(AND($D127&lt;=M$7+6,$E127&gt;=M$7),IF('Plan de Tareas'!$J126="Completada",2,1),""))</f>
        <v/>
      </c>
      <c r="N127" s="36" t="str">
        <f>IF(OR($D127="",$E127=""),"",IF(AND($D127&lt;=N$7+6,$E127&gt;=N$7),IF('Plan de Tareas'!$J126="Completada",2,1),""))</f>
        <v/>
      </c>
      <c r="O127" s="36" t="str">
        <f>IF(OR($D127="",$E127=""),"",IF(AND($D127&lt;=O$7+6,$E127&gt;=O$7),IF('Plan de Tareas'!$J126="Completada",2,1),""))</f>
        <v/>
      </c>
      <c r="P127" s="36" t="str">
        <f>IF(OR($D127="",$E127=""),"",IF(AND($D127&lt;=P$7+6,$E127&gt;=P$7),IF('Plan de Tareas'!$J126="Completada",2,1),""))</f>
        <v/>
      </c>
      <c r="Q127" s="36" t="str">
        <f>IF(OR($D127="",$E127=""),"",IF(AND($D127&lt;=Q$7+6,$E127&gt;=Q$7),IF('Plan de Tareas'!$J126="Completada",2,1),""))</f>
        <v/>
      </c>
      <c r="R127" s="36" t="str">
        <f>IF(OR($D127="",$E127=""),"",IF(AND($D127&lt;=R$7+6,$E127&gt;=R$7),IF('Plan de Tareas'!$J126="Completada",2,1),""))</f>
        <v/>
      </c>
      <c r="S127" s="36" t="str">
        <f>IF(OR($D127="",$E127=""),"",IF(AND($D127&lt;=S$7+6,$E127&gt;=S$7),IF('Plan de Tareas'!$J126="Completada",2,1),""))</f>
        <v/>
      </c>
      <c r="T127" s="36" t="str">
        <f>IF(OR($D127="",$E127=""),"",IF(AND($D127&lt;=T$7+6,$E127&gt;=T$7),IF('Plan de Tareas'!$J126="Completada",2,1),""))</f>
        <v/>
      </c>
      <c r="U127" s="36" t="str">
        <f>IF(OR($D127="",$E127=""),"",IF(AND($D127&lt;=U$7+6,$E127&gt;=U$7),IF('Plan de Tareas'!$J126="Completada",2,1),""))</f>
        <v/>
      </c>
      <c r="V127" s="36" t="str">
        <f>IF(OR($D127="",$E127=""),"",IF(AND($D127&lt;=V$7+6,$E127&gt;=V$7),IF('Plan de Tareas'!$J126="Completada",2,1),""))</f>
        <v/>
      </c>
      <c r="W127" s="36" t="str">
        <f>IF(OR($D127="",$E127=""),"",IF(AND($D127&lt;=W$7+6,$E127&gt;=W$7),IF('Plan de Tareas'!$J126="Completada",2,1),""))</f>
        <v/>
      </c>
      <c r="X127" s="36" t="str">
        <f>IF(OR($D127="",$E127=""),"",IF(AND($D127&lt;=X$7+6,$E127&gt;=X$7),IF('Plan de Tareas'!$J126="Completada",2,1),""))</f>
        <v/>
      </c>
      <c r="Y127" s="36" t="str">
        <f>IF(OR($D127="",$E127=""),"",IF(AND($D127&lt;=Y$7+6,$E127&gt;=Y$7),IF('Plan de Tareas'!$J126="Completada",2,1),""))</f>
        <v/>
      </c>
      <c r="Z127" s="36" t="str">
        <f>IF(OR($D127="",$E127=""),"",IF(AND($D127&lt;=Z$7+6,$E127&gt;=Z$7),IF('Plan de Tareas'!$J126="Completada",2,1),""))</f>
        <v/>
      </c>
      <c r="AA127" s="36" t="str">
        <f>IF(OR($D127="",$E127=""),"",IF(AND($D127&lt;=AA$7+6,$E127&gt;=AA$7),IF('Plan de Tareas'!$J126="Completada",2,1),""))</f>
        <v/>
      </c>
      <c r="AB127" s="36" t="str">
        <f>IF(OR($D127="",$E127=""),"",IF(AND($D127&lt;=AB$7+6,$E127&gt;=AB$7),IF('Plan de Tareas'!$J126="Completada",2,1),""))</f>
        <v/>
      </c>
      <c r="AC127" s="36" t="str">
        <f>IF(OR($D127="",$E127=""),"",IF(AND($D127&lt;=AC$7+6,$E127&gt;=AC$7),IF('Plan de Tareas'!$J126="Completada",2,1),""))</f>
        <v/>
      </c>
      <c r="AD127" s="36" t="str">
        <f>IF(OR($D127="",$E127=""),"",IF(AND($D127&lt;=AD$7+6,$E127&gt;=AD$7),IF('Plan de Tareas'!$J126="Completada",2,1),""))</f>
        <v/>
      </c>
      <c r="AE127" s="36" t="str">
        <f>IF(OR($D127="",$E127=""),"",IF(AND($D127&lt;=AE$7+6,$E127&gt;=AE$7),IF('Plan de Tareas'!$J126="Completada",2,1),""))</f>
        <v/>
      </c>
    </row>
    <row r="129" spans="2:2" x14ac:dyDescent="0.3">
      <c r="B129" s="39" t="s">
        <v>144</v>
      </c>
    </row>
  </sheetData>
  <mergeCells count="4">
    <mergeCell ref="A1:AE1"/>
    <mergeCell ref="A2:AE2"/>
    <mergeCell ref="A3:AE3"/>
    <mergeCell ref="A5:B5"/>
  </mergeCells>
  <conditionalFormatting sqref="F8:AE127">
    <cfRule type="cellIs" dxfId="12" priority="2" operator="equal">
      <formula>1</formula>
    </cfRule>
    <cfRule type="cellIs" dxfId="11" priority="3" operator="equal">
      <formula>2</formula>
    </cfRule>
    <cfRule type="expression" dxfId="10" priority="4">
      <formula>AND(TODAY()&gt;=F$7,TODAY()&lt;F$7+7)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4150"/>
  </sheetPr>
  <dimension ref="A1:H37"/>
  <sheetViews>
    <sheetView showGridLines="0" zoomScaleNormal="100" workbookViewId="0">
      <pane ySplit="6" topLeftCell="A7" activePane="bottomLeft" state="frozen"/>
      <selection pane="bottomLeft" activeCell="G7" sqref="G7"/>
    </sheetView>
  </sheetViews>
  <sheetFormatPr baseColWidth="10" defaultColWidth="8.6640625" defaultRowHeight="14.4" x14ac:dyDescent="0.3"/>
  <cols>
    <col min="1" max="1" width="5" customWidth="1"/>
    <col min="2" max="2" width="40" customWidth="1"/>
    <col min="3" max="3" width="20" customWidth="1"/>
    <col min="4" max="4" width="17" customWidth="1"/>
    <col min="5" max="6" width="15" customWidth="1"/>
    <col min="7" max="7" width="16" customWidth="1"/>
    <col min="8" max="8" width="38" customWidth="1"/>
  </cols>
  <sheetData>
    <row r="1" spans="1:8" ht="25.5" customHeight="1" x14ac:dyDescent="0.3">
      <c r="A1" s="4" t="s">
        <v>145</v>
      </c>
      <c r="B1" s="4"/>
      <c r="C1" s="4"/>
      <c r="D1" s="4"/>
      <c r="E1" s="4"/>
      <c r="F1" s="4"/>
      <c r="G1" s="4"/>
      <c r="H1" s="4"/>
    </row>
    <row r="2" spans="1:8" ht="15" customHeight="1" x14ac:dyDescent="0.3">
      <c r="A2" s="3" t="s">
        <v>146</v>
      </c>
      <c r="B2" s="3"/>
      <c r="C2" s="3"/>
      <c r="D2" s="3"/>
      <c r="E2" s="3"/>
      <c r="F2" s="3"/>
      <c r="G2" s="3"/>
      <c r="H2" s="3"/>
    </row>
    <row r="3" spans="1:8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</row>
    <row r="4" spans="1:8" ht="7.5" customHeight="1" x14ac:dyDescent="0.3"/>
    <row r="6" spans="1:8" ht="30" customHeight="1" x14ac:dyDescent="0.3">
      <c r="A6" s="22" t="s">
        <v>147</v>
      </c>
      <c r="B6" s="22" t="s">
        <v>148</v>
      </c>
      <c r="C6" s="22" t="s">
        <v>122</v>
      </c>
      <c r="D6" s="22" t="s">
        <v>149</v>
      </c>
      <c r="E6" s="22" t="s">
        <v>150</v>
      </c>
      <c r="F6" s="22" t="s">
        <v>151</v>
      </c>
      <c r="G6" s="22" t="s">
        <v>152</v>
      </c>
      <c r="H6" s="22" t="s">
        <v>153</v>
      </c>
    </row>
    <row r="7" spans="1:8" x14ac:dyDescent="0.3">
      <c r="A7" s="34">
        <f t="shared" ref="A7:A37" si="0">IF($B7="","",ROW()-6)</f>
        <v>1</v>
      </c>
      <c r="B7" s="17" t="s">
        <v>154</v>
      </c>
      <c r="C7" s="17" t="s">
        <v>10</v>
      </c>
      <c r="D7" s="18">
        <v>46239</v>
      </c>
      <c r="E7" s="18"/>
      <c r="F7" s="34">
        <f t="shared" ref="F7:F37" ca="1" si="1">IF(OR($B7="",$D7=""),"",IF($E7="",IF(TODAY()&gt;$D7,TODAY()-$D7,0),$E7-$D7))</f>
        <v>0</v>
      </c>
      <c r="G7" s="34" t="str">
        <f t="shared" ref="G7:G37" ca="1" si="2">IF($B7="","",IF($E7&lt;&gt;"",IF($E7&lt;=$D7,"Cumplido","Cumplido con retraso"),IF($D7="","Sin fecha",IF(TODAY()&gt;$D7,"Vencido","Pendiente"))))</f>
        <v>Pendiente</v>
      </c>
      <c r="H7" s="17" t="s">
        <v>155</v>
      </c>
    </row>
    <row r="8" spans="1:8" x14ac:dyDescent="0.3">
      <c r="A8" s="37" t="str">
        <f t="shared" si="0"/>
        <v/>
      </c>
      <c r="B8" s="17"/>
      <c r="C8" s="17"/>
      <c r="D8" s="18"/>
      <c r="E8" s="18"/>
      <c r="F8" s="37" t="str">
        <f t="shared" ca="1" si="1"/>
        <v/>
      </c>
      <c r="G8" s="37" t="str">
        <f t="shared" ca="1" si="2"/>
        <v/>
      </c>
      <c r="H8" s="17"/>
    </row>
    <row r="9" spans="1:8" x14ac:dyDescent="0.3">
      <c r="A9" s="34" t="str">
        <f t="shared" si="0"/>
        <v/>
      </c>
      <c r="B9" s="17"/>
      <c r="C9" s="17"/>
      <c r="D9" s="18"/>
      <c r="E9" s="18"/>
      <c r="F9" s="34" t="str">
        <f t="shared" ca="1" si="1"/>
        <v/>
      </c>
      <c r="G9" s="34" t="str">
        <f t="shared" ca="1" si="2"/>
        <v/>
      </c>
      <c r="H9" s="17"/>
    </row>
    <row r="10" spans="1:8" x14ac:dyDescent="0.3">
      <c r="A10" s="37" t="str">
        <f t="shared" si="0"/>
        <v/>
      </c>
      <c r="B10" s="17"/>
      <c r="C10" s="17"/>
      <c r="D10" s="18"/>
      <c r="E10" s="18"/>
      <c r="F10" s="37" t="str">
        <f t="shared" ca="1" si="1"/>
        <v/>
      </c>
      <c r="G10" s="37" t="str">
        <f t="shared" ca="1" si="2"/>
        <v/>
      </c>
      <c r="H10" s="17"/>
    </row>
    <row r="11" spans="1:8" x14ac:dyDescent="0.3">
      <c r="A11" s="34" t="str">
        <f t="shared" si="0"/>
        <v/>
      </c>
      <c r="B11" s="17"/>
      <c r="C11" s="17"/>
      <c r="D11" s="18"/>
      <c r="E11" s="18"/>
      <c r="F11" s="34" t="str">
        <f t="shared" ca="1" si="1"/>
        <v/>
      </c>
      <c r="G11" s="34" t="str">
        <f t="shared" ca="1" si="2"/>
        <v/>
      </c>
      <c r="H11" s="17"/>
    </row>
    <row r="12" spans="1:8" x14ac:dyDescent="0.3">
      <c r="A12" s="37" t="str">
        <f t="shared" si="0"/>
        <v/>
      </c>
      <c r="B12" s="17"/>
      <c r="C12" s="17"/>
      <c r="D12" s="18"/>
      <c r="E12" s="18"/>
      <c r="F12" s="37" t="str">
        <f t="shared" ca="1" si="1"/>
        <v/>
      </c>
      <c r="G12" s="37" t="str">
        <f t="shared" ca="1" si="2"/>
        <v/>
      </c>
      <c r="H12" s="17"/>
    </row>
    <row r="13" spans="1:8" x14ac:dyDescent="0.3">
      <c r="A13" s="34" t="str">
        <f t="shared" si="0"/>
        <v/>
      </c>
      <c r="B13" s="17"/>
      <c r="C13" s="17"/>
      <c r="D13" s="18"/>
      <c r="E13" s="18"/>
      <c r="F13" s="34" t="str">
        <f t="shared" ca="1" si="1"/>
        <v/>
      </c>
      <c r="G13" s="34" t="str">
        <f t="shared" ca="1" si="2"/>
        <v/>
      </c>
      <c r="H13" s="17"/>
    </row>
    <row r="14" spans="1:8" x14ac:dyDescent="0.3">
      <c r="A14" s="37" t="str">
        <f t="shared" si="0"/>
        <v/>
      </c>
      <c r="B14" s="17"/>
      <c r="C14" s="17"/>
      <c r="D14" s="18"/>
      <c r="E14" s="18"/>
      <c r="F14" s="37" t="str">
        <f t="shared" ca="1" si="1"/>
        <v/>
      </c>
      <c r="G14" s="37" t="str">
        <f t="shared" ca="1" si="2"/>
        <v/>
      </c>
      <c r="H14" s="17"/>
    </row>
    <row r="15" spans="1:8" x14ac:dyDescent="0.3">
      <c r="A15" s="34" t="str">
        <f t="shared" si="0"/>
        <v/>
      </c>
      <c r="B15" s="17"/>
      <c r="C15" s="17"/>
      <c r="D15" s="18"/>
      <c r="E15" s="18"/>
      <c r="F15" s="34" t="str">
        <f t="shared" ca="1" si="1"/>
        <v/>
      </c>
      <c r="G15" s="34" t="str">
        <f t="shared" ca="1" si="2"/>
        <v/>
      </c>
      <c r="H15" s="17"/>
    </row>
    <row r="16" spans="1:8" x14ac:dyDescent="0.3">
      <c r="A16" s="37" t="str">
        <f t="shared" si="0"/>
        <v/>
      </c>
      <c r="B16" s="17"/>
      <c r="C16" s="17"/>
      <c r="D16" s="18"/>
      <c r="E16" s="18"/>
      <c r="F16" s="37" t="str">
        <f t="shared" ca="1" si="1"/>
        <v/>
      </c>
      <c r="G16" s="37" t="str">
        <f t="shared" ca="1" si="2"/>
        <v/>
      </c>
      <c r="H16" s="17"/>
    </row>
    <row r="17" spans="1:8" x14ac:dyDescent="0.3">
      <c r="A17" s="34" t="str">
        <f t="shared" si="0"/>
        <v/>
      </c>
      <c r="B17" s="17"/>
      <c r="C17" s="17"/>
      <c r="D17" s="18"/>
      <c r="E17" s="18"/>
      <c r="F17" s="34" t="str">
        <f t="shared" ca="1" si="1"/>
        <v/>
      </c>
      <c r="G17" s="34" t="str">
        <f t="shared" ca="1" si="2"/>
        <v/>
      </c>
      <c r="H17" s="17"/>
    </row>
    <row r="18" spans="1:8" x14ac:dyDescent="0.3">
      <c r="A18" s="37" t="str">
        <f t="shared" si="0"/>
        <v/>
      </c>
      <c r="B18" s="17"/>
      <c r="C18" s="17"/>
      <c r="D18" s="18"/>
      <c r="E18" s="18"/>
      <c r="F18" s="37" t="str">
        <f t="shared" ca="1" si="1"/>
        <v/>
      </c>
      <c r="G18" s="37" t="str">
        <f t="shared" ca="1" si="2"/>
        <v/>
      </c>
      <c r="H18" s="17"/>
    </row>
    <row r="19" spans="1:8" x14ac:dyDescent="0.3">
      <c r="A19" s="34" t="str">
        <f t="shared" si="0"/>
        <v/>
      </c>
      <c r="B19" s="17"/>
      <c r="C19" s="17"/>
      <c r="D19" s="18"/>
      <c r="E19" s="18"/>
      <c r="F19" s="34" t="str">
        <f t="shared" ca="1" si="1"/>
        <v/>
      </c>
      <c r="G19" s="34" t="str">
        <f t="shared" ca="1" si="2"/>
        <v/>
      </c>
      <c r="H19" s="17"/>
    </row>
    <row r="20" spans="1:8" x14ac:dyDescent="0.3">
      <c r="A20" s="37" t="str">
        <f t="shared" si="0"/>
        <v/>
      </c>
      <c r="B20" s="17"/>
      <c r="C20" s="17"/>
      <c r="D20" s="18"/>
      <c r="E20" s="18"/>
      <c r="F20" s="37" t="str">
        <f t="shared" ca="1" si="1"/>
        <v/>
      </c>
      <c r="G20" s="37" t="str">
        <f t="shared" ca="1" si="2"/>
        <v/>
      </c>
      <c r="H20" s="17"/>
    </row>
    <row r="21" spans="1:8" x14ac:dyDescent="0.3">
      <c r="A21" s="34" t="str">
        <f t="shared" si="0"/>
        <v/>
      </c>
      <c r="B21" s="17"/>
      <c r="C21" s="17"/>
      <c r="D21" s="18"/>
      <c r="E21" s="18"/>
      <c r="F21" s="34" t="str">
        <f t="shared" ca="1" si="1"/>
        <v/>
      </c>
      <c r="G21" s="34" t="str">
        <f t="shared" ca="1" si="2"/>
        <v/>
      </c>
      <c r="H21" s="17"/>
    </row>
    <row r="22" spans="1:8" x14ac:dyDescent="0.3">
      <c r="A22" s="37" t="str">
        <f t="shared" si="0"/>
        <v/>
      </c>
      <c r="B22" s="17"/>
      <c r="C22" s="17"/>
      <c r="D22" s="18"/>
      <c r="E22" s="18"/>
      <c r="F22" s="37" t="str">
        <f t="shared" ca="1" si="1"/>
        <v/>
      </c>
      <c r="G22" s="37" t="str">
        <f t="shared" ca="1" si="2"/>
        <v/>
      </c>
      <c r="H22" s="17"/>
    </row>
    <row r="23" spans="1:8" x14ac:dyDescent="0.3">
      <c r="A23" s="34" t="str">
        <f t="shared" si="0"/>
        <v/>
      </c>
      <c r="B23" s="17"/>
      <c r="C23" s="17"/>
      <c r="D23" s="18"/>
      <c r="E23" s="18"/>
      <c r="F23" s="34" t="str">
        <f t="shared" ca="1" si="1"/>
        <v/>
      </c>
      <c r="G23" s="34" t="str">
        <f t="shared" ca="1" si="2"/>
        <v/>
      </c>
      <c r="H23" s="17"/>
    </row>
    <row r="24" spans="1:8" x14ac:dyDescent="0.3">
      <c r="A24" s="37" t="str">
        <f t="shared" si="0"/>
        <v/>
      </c>
      <c r="B24" s="17"/>
      <c r="C24" s="17"/>
      <c r="D24" s="18"/>
      <c r="E24" s="18"/>
      <c r="F24" s="37" t="str">
        <f t="shared" ca="1" si="1"/>
        <v/>
      </c>
      <c r="G24" s="37" t="str">
        <f t="shared" ca="1" si="2"/>
        <v/>
      </c>
      <c r="H24" s="17"/>
    </row>
    <row r="25" spans="1:8" x14ac:dyDescent="0.3">
      <c r="A25" s="34" t="str">
        <f t="shared" si="0"/>
        <v/>
      </c>
      <c r="B25" s="17"/>
      <c r="C25" s="17"/>
      <c r="D25" s="18"/>
      <c r="E25" s="18"/>
      <c r="F25" s="34" t="str">
        <f t="shared" ca="1" si="1"/>
        <v/>
      </c>
      <c r="G25" s="34" t="str">
        <f t="shared" ca="1" si="2"/>
        <v/>
      </c>
      <c r="H25" s="17"/>
    </row>
    <row r="26" spans="1:8" x14ac:dyDescent="0.3">
      <c r="A26" s="37" t="str">
        <f t="shared" si="0"/>
        <v/>
      </c>
      <c r="B26" s="17"/>
      <c r="C26" s="17"/>
      <c r="D26" s="18"/>
      <c r="E26" s="18"/>
      <c r="F26" s="37" t="str">
        <f t="shared" ca="1" si="1"/>
        <v/>
      </c>
      <c r="G26" s="37" t="str">
        <f t="shared" ca="1" si="2"/>
        <v/>
      </c>
      <c r="H26" s="17"/>
    </row>
    <row r="27" spans="1:8" x14ac:dyDescent="0.3">
      <c r="A27" s="34" t="str">
        <f t="shared" si="0"/>
        <v/>
      </c>
      <c r="B27" s="17"/>
      <c r="C27" s="17"/>
      <c r="D27" s="18"/>
      <c r="E27" s="18"/>
      <c r="F27" s="34" t="str">
        <f t="shared" ca="1" si="1"/>
        <v/>
      </c>
      <c r="G27" s="34" t="str">
        <f t="shared" ca="1" si="2"/>
        <v/>
      </c>
      <c r="H27" s="17"/>
    </row>
    <row r="28" spans="1:8" x14ac:dyDescent="0.3">
      <c r="A28" s="37" t="str">
        <f t="shared" si="0"/>
        <v/>
      </c>
      <c r="B28" s="17"/>
      <c r="C28" s="17"/>
      <c r="D28" s="18"/>
      <c r="E28" s="18"/>
      <c r="F28" s="37" t="str">
        <f t="shared" ca="1" si="1"/>
        <v/>
      </c>
      <c r="G28" s="37" t="str">
        <f t="shared" ca="1" si="2"/>
        <v/>
      </c>
      <c r="H28" s="17"/>
    </row>
    <row r="29" spans="1:8" x14ac:dyDescent="0.3">
      <c r="A29" s="34" t="str">
        <f t="shared" si="0"/>
        <v/>
      </c>
      <c r="B29" s="17"/>
      <c r="C29" s="17"/>
      <c r="D29" s="18"/>
      <c r="E29" s="18"/>
      <c r="F29" s="34" t="str">
        <f t="shared" ca="1" si="1"/>
        <v/>
      </c>
      <c r="G29" s="34" t="str">
        <f t="shared" ca="1" si="2"/>
        <v/>
      </c>
      <c r="H29" s="17"/>
    </row>
    <row r="30" spans="1:8" x14ac:dyDescent="0.3">
      <c r="A30" s="37" t="str">
        <f t="shared" si="0"/>
        <v/>
      </c>
      <c r="B30" s="17"/>
      <c r="C30" s="17"/>
      <c r="D30" s="18"/>
      <c r="E30" s="18"/>
      <c r="F30" s="37" t="str">
        <f t="shared" ca="1" si="1"/>
        <v/>
      </c>
      <c r="G30" s="37" t="str">
        <f t="shared" ca="1" si="2"/>
        <v/>
      </c>
      <c r="H30" s="17"/>
    </row>
    <row r="31" spans="1:8" x14ac:dyDescent="0.3">
      <c r="A31" s="34" t="str">
        <f t="shared" si="0"/>
        <v/>
      </c>
      <c r="B31" s="17"/>
      <c r="C31" s="17"/>
      <c r="D31" s="18"/>
      <c r="E31" s="18"/>
      <c r="F31" s="34" t="str">
        <f t="shared" ca="1" si="1"/>
        <v/>
      </c>
      <c r="G31" s="34" t="str">
        <f t="shared" ca="1" si="2"/>
        <v/>
      </c>
      <c r="H31" s="17"/>
    </row>
    <row r="32" spans="1:8" x14ac:dyDescent="0.3">
      <c r="A32" s="37" t="str">
        <f t="shared" si="0"/>
        <v/>
      </c>
      <c r="B32" s="17"/>
      <c r="C32" s="17"/>
      <c r="D32" s="18"/>
      <c r="E32" s="18"/>
      <c r="F32" s="37" t="str">
        <f t="shared" ca="1" si="1"/>
        <v/>
      </c>
      <c r="G32" s="37" t="str">
        <f t="shared" ca="1" si="2"/>
        <v/>
      </c>
      <c r="H32" s="17"/>
    </row>
    <row r="33" spans="1:8" x14ac:dyDescent="0.3">
      <c r="A33" s="34" t="str">
        <f t="shared" si="0"/>
        <v/>
      </c>
      <c r="B33" s="17"/>
      <c r="C33" s="17"/>
      <c r="D33" s="18"/>
      <c r="E33" s="18"/>
      <c r="F33" s="34" t="str">
        <f t="shared" ca="1" si="1"/>
        <v/>
      </c>
      <c r="G33" s="34" t="str">
        <f t="shared" ca="1" si="2"/>
        <v/>
      </c>
      <c r="H33" s="17"/>
    </row>
    <row r="34" spans="1:8" x14ac:dyDescent="0.3">
      <c r="A34" s="37" t="str">
        <f t="shared" si="0"/>
        <v/>
      </c>
      <c r="B34" s="17"/>
      <c r="C34" s="17"/>
      <c r="D34" s="18"/>
      <c r="E34" s="18"/>
      <c r="F34" s="37" t="str">
        <f t="shared" ca="1" si="1"/>
        <v/>
      </c>
      <c r="G34" s="37" t="str">
        <f t="shared" ca="1" si="2"/>
        <v/>
      </c>
      <c r="H34" s="17"/>
    </row>
    <row r="35" spans="1:8" x14ac:dyDescent="0.3">
      <c r="A35" s="34" t="str">
        <f t="shared" si="0"/>
        <v/>
      </c>
      <c r="B35" s="17"/>
      <c r="C35" s="17"/>
      <c r="D35" s="18"/>
      <c r="E35" s="18"/>
      <c r="F35" s="34" t="str">
        <f t="shared" ca="1" si="1"/>
        <v/>
      </c>
      <c r="G35" s="34" t="str">
        <f t="shared" ca="1" si="2"/>
        <v/>
      </c>
      <c r="H35" s="17"/>
    </row>
    <row r="36" spans="1:8" x14ac:dyDescent="0.3">
      <c r="A36" s="37" t="str">
        <f t="shared" si="0"/>
        <v/>
      </c>
      <c r="B36" s="17"/>
      <c r="C36" s="17"/>
      <c r="D36" s="18"/>
      <c r="E36" s="18"/>
      <c r="F36" s="37" t="str">
        <f t="shared" ca="1" si="1"/>
        <v/>
      </c>
      <c r="G36" s="37" t="str">
        <f t="shared" ca="1" si="2"/>
        <v/>
      </c>
      <c r="H36" s="17"/>
    </row>
    <row r="37" spans="1:8" x14ac:dyDescent="0.3">
      <c r="A37" s="34" t="str">
        <f t="shared" si="0"/>
        <v/>
      </c>
      <c r="B37" s="17"/>
      <c r="C37" s="17"/>
      <c r="D37" s="18"/>
      <c r="E37" s="18"/>
      <c r="F37" s="34" t="str">
        <f t="shared" ca="1" si="1"/>
        <v/>
      </c>
      <c r="G37" s="34" t="str">
        <f t="shared" ca="1" si="2"/>
        <v/>
      </c>
      <c r="H37" s="17"/>
    </row>
  </sheetData>
  <mergeCells count="3">
    <mergeCell ref="A1:H1"/>
    <mergeCell ref="A2:H2"/>
    <mergeCell ref="A3:H3"/>
  </mergeCells>
  <conditionalFormatting sqref="G7:G37">
    <cfRule type="cellIs" dxfId="9" priority="2" operator="equal">
      <formula>"Vencido"</formula>
    </cfRule>
    <cfRule type="cellIs" dxfId="8" priority="3" operator="equal">
      <formula>"Pendiente"</formula>
    </cfRule>
    <cfRule type="cellIs" dxfId="7" priority="4" operator="equal">
      <formula>"Cumplido"</formula>
    </cfRule>
    <cfRule type="cellIs" dxfId="6" priority="5" operator="equal">
      <formula>"Cumplido con retraso"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Listas!$E$7:$E$30</xm:f>
          </x14:formula1>
          <x14:formula2>
            <xm:f>0</xm:f>
          </x14:formula2>
          <xm:sqref>C7:C37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4150"/>
  </sheetPr>
  <dimension ref="A1:L47"/>
  <sheetViews>
    <sheetView showGridLines="0" tabSelected="1" zoomScaleNormal="100" workbookViewId="0">
      <pane ySplit="6" topLeftCell="A7" activePane="bottomLeft" state="frozen"/>
      <selection pane="bottomLeft" activeCell="E9" sqref="E9"/>
    </sheetView>
  </sheetViews>
  <sheetFormatPr baseColWidth="10" defaultColWidth="8.6640625" defaultRowHeight="14.4" x14ac:dyDescent="0.3"/>
  <cols>
    <col min="1" max="1" width="6" customWidth="1"/>
    <col min="2" max="2" width="38" customWidth="1"/>
    <col min="3" max="3" width="16" customWidth="1"/>
    <col min="4" max="4" width="13" customWidth="1"/>
    <col min="5" max="5" width="12" customWidth="1"/>
    <col min="6" max="6" width="11" customWidth="1"/>
    <col min="7" max="7" width="12" customWidth="1"/>
    <col min="8" max="8" width="14" customWidth="1"/>
    <col min="9" max="9" width="40" customWidth="1"/>
    <col min="10" max="10" width="18" customWidth="1"/>
    <col min="11" max="11" width="13" customWidth="1"/>
    <col min="12" max="12" width="15" customWidth="1"/>
  </cols>
  <sheetData>
    <row r="1" spans="1:12" ht="25.5" customHeight="1" x14ac:dyDescent="0.3">
      <c r="A1" s="4" t="s">
        <v>156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" customHeight="1" x14ac:dyDescent="0.3">
      <c r="A2" s="3" t="s">
        <v>157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7.5" customHeight="1" x14ac:dyDescent="0.3"/>
    <row r="6" spans="1:12" ht="30" customHeight="1" x14ac:dyDescent="0.3">
      <c r="A6" s="22" t="s">
        <v>120</v>
      </c>
      <c r="B6" s="22" t="s">
        <v>158</v>
      </c>
      <c r="C6" s="22" t="s">
        <v>76</v>
      </c>
      <c r="D6" s="22" t="s">
        <v>159</v>
      </c>
      <c r="E6" s="22" t="s">
        <v>160</v>
      </c>
      <c r="F6" s="22" t="s">
        <v>161</v>
      </c>
      <c r="G6" s="22" t="s">
        <v>162</v>
      </c>
      <c r="H6" s="22" t="s">
        <v>163</v>
      </c>
      <c r="I6" s="22" t="s">
        <v>164</v>
      </c>
      <c r="J6" s="22" t="s">
        <v>165</v>
      </c>
      <c r="K6" s="22" t="s">
        <v>166</v>
      </c>
      <c r="L6" s="22" t="s">
        <v>152</v>
      </c>
    </row>
    <row r="7" spans="1:12" ht="22.8" x14ac:dyDescent="0.3">
      <c r="A7" s="34">
        <f t="shared" ref="A7:A47" si="0">IF($B7="","",ROW()-6)</f>
        <v>1</v>
      </c>
      <c r="B7" s="17" t="s">
        <v>167</v>
      </c>
      <c r="C7" s="17" t="s">
        <v>168</v>
      </c>
      <c r="D7" s="17" t="s">
        <v>169</v>
      </c>
      <c r="E7" s="17" t="s">
        <v>169</v>
      </c>
      <c r="F7" s="34">
        <f t="shared" ref="F7:F47" si="1">IF(OR($B7="",$D7="",$E7=""),"",IF($D7="Alto",3,IF($D7="Medio",2,1))*IF($E7="Alto",3,IF($E7="Medio",2,1)))</f>
        <v>9</v>
      </c>
      <c r="G7" s="34" t="str">
        <f t="shared" ref="G7:G47" si="2">IF($F7="","",IF($F7&gt;=6,"Crítico",IF($F7&gt;=4,"Alto",IF($F7&gt;=2,"Medio","Bajo"))))</f>
        <v>Crítico</v>
      </c>
      <c r="H7" s="17" t="s">
        <v>170</v>
      </c>
      <c r="I7" s="17" t="s">
        <v>171</v>
      </c>
      <c r="J7" s="17" t="s">
        <v>10</v>
      </c>
      <c r="K7" s="18">
        <v>46241</v>
      </c>
      <c r="L7" s="17" t="s">
        <v>172</v>
      </c>
    </row>
    <row r="8" spans="1:12" x14ac:dyDescent="0.3">
      <c r="A8" s="37" t="str">
        <f t="shared" si="0"/>
        <v/>
      </c>
      <c r="B8" s="17"/>
      <c r="C8" s="17"/>
      <c r="D8" s="17"/>
      <c r="E8" s="17"/>
      <c r="F8" s="37" t="str">
        <f t="shared" si="1"/>
        <v/>
      </c>
      <c r="G8" s="37" t="str">
        <f t="shared" si="2"/>
        <v/>
      </c>
      <c r="H8" s="17"/>
      <c r="I8" s="17"/>
      <c r="J8" s="17"/>
      <c r="K8" s="18"/>
      <c r="L8" s="17"/>
    </row>
    <row r="9" spans="1:12" x14ac:dyDescent="0.3">
      <c r="A9" s="34" t="str">
        <f t="shared" si="0"/>
        <v/>
      </c>
      <c r="B9" s="17"/>
      <c r="C9" s="17"/>
      <c r="D9" s="17"/>
      <c r="E9" s="17"/>
      <c r="F9" s="34" t="str">
        <f t="shared" si="1"/>
        <v/>
      </c>
      <c r="G9" s="34" t="str">
        <f t="shared" si="2"/>
        <v/>
      </c>
      <c r="H9" s="17"/>
      <c r="I9" s="17"/>
      <c r="J9" s="17"/>
      <c r="K9" s="18"/>
      <c r="L9" s="17"/>
    </row>
    <row r="10" spans="1:12" x14ac:dyDescent="0.3">
      <c r="A10" s="37" t="str">
        <f t="shared" si="0"/>
        <v/>
      </c>
      <c r="B10" s="17"/>
      <c r="C10" s="17"/>
      <c r="D10" s="17"/>
      <c r="E10" s="17"/>
      <c r="F10" s="37" t="str">
        <f t="shared" si="1"/>
        <v/>
      </c>
      <c r="G10" s="37" t="str">
        <f t="shared" si="2"/>
        <v/>
      </c>
      <c r="H10" s="17"/>
      <c r="I10" s="17"/>
      <c r="J10" s="17"/>
      <c r="K10" s="18"/>
      <c r="L10" s="17"/>
    </row>
    <row r="11" spans="1:12" x14ac:dyDescent="0.3">
      <c r="A11" s="34" t="str">
        <f t="shared" si="0"/>
        <v/>
      </c>
      <c r="B11" s="17"/>
      <c r="C11" s="17"/>
      <c r="D11" s="17"/>
      <c r="E11" s="17"/>
      <c r="F11" s="34" t="str">
        <f t="shared" si="1"/>
        <v/>
      </c>
      <c r="G11" s="34" t="str">
        <f t="shared" si="2"/>
        <v/>
      </c>
      <c r="H11" s="17"/>
      <c r="I11" s="17"/>
      <c r="J11" s="17"/>
      <c r="K11" s="18"/>
      <c r="L11" s="17"/>
    </row>
    <row r="12" spans="1:12" x14ac:dyDescent="0.3">
      <c r="A12" s="37" t="str">
        <f t="shared" si="0"/>
        <v/>
      </c>
      <c r="B12" s="17"/>
      <c r="C12" s="17"/>
      <c r="D12" s="17"/>
      <c r="E12" s="17"/>
      <c r="F12" s="37" t="str">
        <f t="shared" si="1"/>
        <v/>
      </c>
      <c r="G12" s="37" t="str">
        <f t="shared" si="2"/>
        <v/>
      </c>
      <c r="H12" s="17"/>
      <c r="I12" s="17"/>
      <c r="J12" s="17"/>
      <c r="K12" s="18"/>
      <c r="L12" s="17"/>
    </row>
    <row r="13" spans="1:12" x14ac:dyDescent="0.3">
      <c r="A13" s="34" t="str">
        <f t="shared" si="0"/>
        <v/>
      </c>
      <c r="B13" s="17"/>
      <c r="C13" s="17"/>
      <c r="D13" s="17"/>
      <c r="E13" s="17"/>
      <c r="F13" s="34" t="str">
        <f t="shared" si="1"/>
        <v/>
      </c>
      <c r="G13" s="34" t="str">
        <f t="shared" si="2"/>
        <v/>
      </c>
      <c r="H13" s="17"/>
      <c r="I13" s="17"/>
      <c r="J13" s="17"/>
      <c r="K13" s="18"/>
      <c r="L13" s="17"/>
    </row>
    <row r="14" spans="1:12" x14ac:dyDescent="0.3">
      <c r="A14" s="37" t="str">
        <f t="shared" si="0"/>
        <v/>
      </c>
      <c r="B14" s="17"/>
      <c r="C14" s="17"/>
      <c r="D14" s="17"/>
      <c r="E14" s="17"/>
      <c r="F14" s="37" t="str">
        <f t="shared" si="1"/>
        <v/>
      </c>
      <c r="G14" s="37" t="str">
        <f t="shared" si="2"/>
        <v/>
      </c>
      <c r="H14" s="17"/>
      <c r="I14" s="17"/>
      <c r="J14" s="17"/>
      <c r="K14" s="18"/>
      <c r="L14" s="17"/>
    </row>
    <row r="15" spans="1:12" x14ac:dyDescent="0.3">
      <c r="A15" s="34" t="str">
        <f t="shared" si="0"/>
        <v/>
      </c>
      <c r="B15" s="17"/>
      <c r="C15" s="17"/>
      <c r="D15" s="17"/>
      <c r="E15" s="17"/>
      <c r="F15" s="34" t="str">
        <f t="shared" si="1"/>
        <v/>
      </c>
      <c r="G15" s="34" t="str">
        <f t="shared" si="2"/>
        <v/>
      </c>
      <c r="H15" s="17"/>
      <c r="I15" s="17"/>
      <c r="J15" s="17"/>
      <c r="K15" s="18"/>
      <c r="L15" s="17"/>
    </row>
    <row r="16" spans="1:12" x14ac:dyDescent="0.3">
      <c r="A16" s="37" t="str">
        <f t="shared" si="0"/>
        <v/>
      </c>
      <c r="B16" s="17"/>
      <c r="C16" s="17"/>
      <c r="D16" s="17"/>
      <c r="E16" s="17"/>
      <c r="F16" s="37" t="str">
        <f t="shared" si="1"/>
        <v/>
      </c>
      <c r="G16" s="37" t="str">
        <f t="shared" si="2"/>
        <v/>
      </c>
      <c r="H16" s="17"/>
      <c r="I16" s="17"/>
      <c r="J16" s="17"/>
      <c r="K16" s="18"/>
      <c r="L16" s="17"/>
    </row>
    <row r="17" spans="1:12" x14ac:dyDescent="0.3">
      <c r="A17" s="34" t="str">
        <f t="shared" si="0"/>
        <v/>
      </c>
      <c r="B17" s="17"/>
      <c r="C17" s="17"/>
      <c r="D17" s="17"/>
      <c r="E17" s="17"/>
      <c r="F17" s="34" t="str">
        <f t="shared" si="1"/>
        <v/>
      </c>
      <c r="G17" s="34" t="str">
        <f t="shared" si="2"/>
        <v/>
      </c>
      <c r="H17" s="17"/>
      <c r="I17" s="17"/>
      <c r="J17" s="17"/>
      <c r="K17" s="18"/>
      <c r="L17" s="17"/>
    </row>
    <row r="18" spans="1:12" x14ac:dyDescent="0.3">
      <c r="A18" s="37" t="str">
        <f t="shared" si="0"/>
        <v/>
      </c>
      <c r="B18" s="17"/>
      <c r="C18" s="17"/>
      <c r="D18" s="17"/>
      <c r="E18" s="17"/>
      <c r="F18" s="37" t="str">
        <f t="shared" si="1"/>
        <v/>
      </c>
      <c r="G18" s="37" t="str">
        <f t="shared" si="2"/>
        <v/>
      </c>
      <c r="H18" s="17"/>
      <c r="I18" s="17"/>
      <c r="J18" s="17"/>
      <c r="K18" s="18"/>
      <c r="L18" s="17"/>
    </row>
    <row r="19" spans="1:12" x14ac:dyDescent="0.3">
      <c r="A19" s="34" t="str">
        <f t="shared" si="0"/>
        <v/>
      </c>
      <c r="B19" s="17"/>
      <c r="C19" s="17"/>
      <c r="D19" s="17"/>
      <c r="E19" s="17"/>
      <c r="F19" s="34" t="str">
        <f t="shared" si="1"/>
        <v/>
      </c>
      <c r="G19" s="34" t="str">
        <f t="shared" si="2"/>
        <v/>
      </c>
      <c r="H19" s="17"/>
      <c r="I19" s="17"/>
      <c r="J19" s="17"/>
      <c r="K19" s="18"/>
      <c r="L19" s="17"/>
    </row>
    <row r="20" spans="1:12" x14ac:dyDescent="0.3">
      <c r="A20" s="37" t="str">
        <f t="shared" si="0"/>
        <v/>
      </c>
      <c r="B20" s="17"/>
      <c r="C20" s="17"/>
      <c r="D20" s="17"/>
      <c r="E20" s="17"/>
      <c r="F20" s="37" t="str">
        <f t="shared" si="1"/>
        <v/>
      </c>
      <c r="G20" s="37" t="str">
        <f t="shared" si="2"/>
        <v/>
      </c>
      <c r="H20" s="17"/>
      <c r="I20" s="17"/>
      <c r="J20" s="17"/>
      <c r="K20" s="18"/>
      <c r="L20" s="17"/>
    </row>
    <row r="21" spans="1:12" x14ac:dyDescent="0.3">
      <c r="A21" s="34" t="str">
        <f t="shared" si="0"/>
        <v/>
      </c>
      <c r="B21" s="17"/>
      <c r="C21" s="17"/>
      <c r="D21" s="17"/>
      <c r="E21" s="17"/>
      <c r="F21" s="34" t="str">
        <f t="shared" si="1"/>
        <v/>
      </c>
      <c r="G21" s="34" t="str">
        <f t="shared" si="2"/>
        <v/>
      </c>
      <c r="H21" s="17"/>
      <c r="I21" s="17"/>
      <c r="J21" s="17"/>
      <c r="K21" s="18"/>
      <c r="L21" s="17"/>
    </row>
    <row r="22" spans="1:12" x14ac:dyDescent="0.3">
      <c r="A22" s="37" t="str">
        <f t="shared" si="0"/>
        <v/>
      </c>
      <c r="B22" s="17"/>
      <c r="C22" s="17"/>
      <c r="D22" s="17"/>
      <c r="E22" s="17"/>
      <c r="F22" s="37" t="str">
        <f t="shared" si="1"/>
        <v/>
      </c>
      <c r="G22" s="37" t="str">
        <f t="shared" si="2"/>
        <v/>
      </c>
      <c r="H22" s="17"/>
      <c r="I22" s="17"/>
      <c r="J22" s="17"/>
      <c r="K22" s="18"/>
      <c r="L22" s="17"/>
    </row>
    <row r="23" spans="1:12" x14ac:dyDescent="0.3">
      <c r="A23" s="34" t="str">
        <f t="shared" si="0"/>
        <v/>
      </c>
      <c r="B23" s="17"/>
      <c r="C23" s="17"/>
      <c r="D23" s="17"/>
      <c r="E23" s="17"/>
      <c r="F23" s="34" t="str">
        <f t="shared" si="1"/>
        <v/>
      </c>
      <c r="G23" s="34" t="str">
        <f t="shared" si="2"/>
        <v/>
      </c>
      <c r="H23" s="17"/>
      <c r="I23" s="17"/>
      <c r="J23" s="17"/>
      <c r="K23" s="18"/>
      <c r="L23" s="17"/>
    </row>
    <row r="24" spans="1:12" x14ac:dyDescent="0.3">
      <c r="A24" s="37" t="str">
        <f t="shared" si="0"/>
        <v/>
      </c>
      <c r="B24" s="17"/>
      <c r="C24" s="17"/>
      <c r="D24" s="17"/>
      <c r="E24" s="17"/>
      <c r="F24" s="37" t="str">
        <f t="shared" si="1"/>
        <v/>
      </c>
      <c r="G24" s="37" t="str">
        <f t="shared" si="2"/>
        <v/>
      </c>
      <c r="H24" s="17"/>
      <c r="I24" s="17"/>
      <c r="J24" s="17"/>
      <c r="K24" s="18"/>
      <c r="L24" s="17"/>
    </row>
    <row r="25" spans="1:12" x14ac:dyDescent="0.3">
      <c r="A25" s="34" t="str">
        <f t="shared" si="0"/>
        <v/>
      </c>
      <c r="B25" s="17"/>
      <c r="C25" s="17"/>
      <c r="D25" s="17"/>
      <c r="E25" s="17"/>
      <c r="F25" s="34" t="str">
        <f t="shared" si="1"/>
        <v/>
      </c>
      <c r="G25" s="34" t="str">
        <f t="shared" si="2"/>
        <v/>
      </c>
      <c r="H25" s="17"/>
      <c r="I25" s="17"/>
      <c r="J25" s="17"/>
      <c r="K25" s="18"/>
      <c r="L25" s="17"/>
    </row>
    <row r="26" spans="1:12" x14ac:dyDescent="0.3">
      <c r="A26" s="37" t="str">
        <f t="shared" si="0"/>
        <v/>
      </c>
      <c r="B26" s="17"/>
      <c r="C26" s="17"/>
      <c r="D26" s="17"/>
      <c r="E26" s="17"/>
      <c r="F26" s="37" t="str">
        <f t="shared" si="1"/>
        <v/>
      </c>
      <c r="G26" s="37" t="str">
        <f t="shared" si="2"/>
        <v/>
      </c>
      <c r="H26" s="17"/>
      <c r="I26" s="17"/>
      <c r="J26" s="17"/>
      <c r="K26" s="18"/>
      <c r="L26" s="17"/>
    </row>
    <row r="27" spans="1:12" x14ac:dyDescent="0.3">
      <c r="A27" s="34" t="str">
        <f t="shared" si="0"/>
        <v/>
      </c>
      <c r="B27" s="17"/>
      <c r="C27" s="17"/>
      <c r="D27" s="17"/>
      <c r="E27" s="17"/>
      <c r="F27" s="34" t="str">
        <f t="shared" si="1"/>
        <v/>
      </c>
      <c r="G27" s="34" t="str">
        <f t="shared" si="2"/>
        <v/>
      </c>
      <c r="H27" s="17"/>
      <c r="I27" s="17"/>
      <c r="J27" s="17"/>
      <c r="K27" s="18"/>
      <c r="L27" s="17"/>
    </row>
    <row r="28" spans="1:12" x14ac:dyDescent="0.3">
      <c r="A28" s="37" t="str">
        <f t="shared" si="0"/>
        <v/>
      </c>
      <c r="B28" s="17"/>
      <c r="C28" s="17"/>
      <c r="D28" s="17"/>
      <c r="E28" s="17"/>
      <c r="F28" s="37" t="str">
        <f t="shared" si="1"/>
        <v/>
      </c>
      <c r="G28" s="37" t="str">
        <f t="shared" si="2"/>
        <v/>
      </c>
      <c r="H28" s="17"/>
      <c r="I28" s="17"/>
      <c r="J28" s="17"/>
      <c r="K28" s="18"/>
      <c r="L28" s="17"/>
    </row>
    <row r="29" spans="1:12" x14ac:dyDescent="0.3">
      <c r="A29" s="34" t="str">
        <f t="shared" si="0"/>
        <v/>
      </c>
      <c r="B29" s="17"/>
      <c r="C29" s="17"/>
      <c r="D29" s="17"/>
      <c r="E29" s="17"/>
      <c r="F29" s="34" t="str">
        <f t="shared" si="1"/>
        <v/>
      </c>
      <c r="G29" s="34" t="str">
        <f t="shared" si="2"/>
        <v/>
      </c>
      <c r="H29" s="17"/>
      <c r="I29" s="17"/>
      <c r="J29" s="17"/>
      <c r="K29" s="18"/>
      <c r="L29" s="17"/>
    </row>
    <row r="30" spans="1:12" x14ac:dyDescent="0.3">
      <c r="A30" s="37" t="str">
        <f t="shared" si="0"/>
        <v/>
      </c>
      <c r="B30" s="17"/>
      <c r="C30" s="17"/>
      <c r="D30" s="17"/>
      <c r="E30" s="17"/>
      <c r="F30" s="37" t="str">
        <f t="shared" si="1"/>
        <v/>
      </c>
      <c r="G30" s="37" t="str">
        <f t="shared" si="2"/>
        <v/>
      </c>
      <c r="H30" s="17"/>
      <c r="I30" s="17"/>
      <c r="J30" s="17"/>
      <c r="K30" s="18"/>
      <c r="L30" s="17"/>
    </row>
    <row r="31" spans="1:12" x14ac:dyDescent="0.3">
      <c r="A31" s="34" t="str">
        <f t="shared" si="0"/>
        <v/>
      </c>
      <c r="B31" s="17"/>
      <c r="C31" s="17"/>
      <c r="D31" s="17"/>
      <c r="E31" s="17"/>
      <c r="F31" s="34" t="str">
        <f t="shared" si="1"/>
        <v/>
      </c>
      <c r="G31" s="34" t="str">
        <f t="shared" si="2"/>
        <v/>
      </c>
      <c r="H31" s="17"/>
      <c r="I31" s="17"/>
      <c r="J31" s="17"/>
      <c r="K31" s="18"/>
      <c r="L31" s="17"/>
    </row>
    <row r="32" spans="1:12" x14ac:dyDescent="0.3">
      <c r="A32" s="37" t="str">
        <f t="shared" si="0"/>
        <v/>
      </c>
      <c r="B32" s="17"/>
      <c r="C32" s="17"/>
      <c r="D32" s="17"/>
      <c r="E32" s="17"/>
      <c r="F32" s="37" t="str">
        <f t="shared" si="1"/>
        <v/>
      </c>
      <c r="G32" s="37" t="str">
        <f t="shared" si="2"/>
        <v/>
      </c>
      <c r="H32" s="17"/>
      <c r="I32" s="17"/>
      <c r="J32" s="17"/>
      <c r="K32" s="18"/>
      <c r="L32" s="17"/>
    </row>
    <row r="33" spans="1:12" x14ac:dyDescent="0.3">
      <c r="A33" s="34" t="str">
        <f t="shared" si="0"/>
        <v/>
      </c>
      <c r="B33" s="17"/>
      <c r="C33" s="17"/>
      <c r="D33" s="17"/>
      <c r="E33" s="17"/>
      <c r="F33" s="34" t="str">
        <f t="shared" si="1"/>
        <v/>
      </c>
      <c r="G33" s="34" t="str">
        <f t="shared" si="2"/>
        <v/>
      </c>
      <c r="H33" s="17"/>
      <c r="I33" s="17"/>
      <c r="J33" s="17"/>
      <c r="K33" s="18"/>
      <c r="L33" s="17"/>
    </row>
    <row r="34" spans="1:12" x14ac:dyDescent="0.3">
      <c r="A34" s="37" t="str">
        <f t="shared" si="0"/>
        <v/>
      </c>
      <c r="B34" s="17"/>
      <c r="C34" s="17"/>
      <c r="D34" s="17"/>
      <c r="E34" s="17"/>
      <c r="F34" s="37" t="str">
        <f t="shared" si="1"/>
        <v/>
      </c>
      <c r="G34" s="37" t="str">
        <f t="shared" si="2"/>
        <v/>
      </c>
      <c r="H34" s="17"/>
      <c r="I34" s="17"/>
      <c r="J34" s="17"/>
      <c r="K34" s="18"/>
      <c r="L34" s="17"/>
    </row>
    <row r="35" spans="1:12" x14ac:dyDescent="0.3">
      <c r="A35" s="34" t="str">
        <f t="shared" si="0"/>
        <v/>
      </c>
      <c r="B35" s="17"/>
      <c r="C35" s="17"/>
      <c r="D35" s="17"/>
      <c r="E35" s="17"/>
      <c r="F35" s="34" t="str">
        <f t="shared" si="1"/>
        <v/>
      </c>
      <c r="G35" s="34" t="str">
        <f t="shared" si="2"/>
        <v/>
      </c>
      <c r="H35" s="17"/>
      <c r="I35" s="17"/>
      <c r="J35" s="17"/>
      <c r="K35" s="18"/>
      <c r="L35" s="17"/>
    </row>
    <row r="36" spans="1:12" x14ac:dyDescent="0.3">
      <c r="A36" s="37" t="str">
        <f t="shared" si="0"/>
        <v/>
      </c>
      <c r="B36" s="17"/>
      <c r="C36" s="17"/>
      <c r="D36" s="17"/>
      <c r="E36" s="17"/>
      <c r="F36" s="37" t="str">
        <f t="shared" si="1"/>
        <v/>
      </c>
      <c r="G36" s="37" t="str">
        <f t="shared" si="2"/>
        <v/>
      </c>
      <c r="H36" s="17"/>
      <c r="I36" s="17"/>
      <c r="J36" s="17"/>
      <c r="K36" s="18"/>
      <c r="L36" s="17"/>
    </row>
    <row r="37" spans="1:12" x14ac:dyDescent="0.3">
      <c r="A37" s="34" t="str">
        <f t="shared" si="0"/>
        <v/>
      </c>
      <c r="B37" s="17"/>
      <c r="C37" s="17"/>
      <c r="D37" s="17"/>
      <c r="E37" s="17"/>
      <c r="F37" s="34" t="str">
        <f t="shared" si="1"/>
        <v/>
      </c>
      <c r="G37" s="34" t="str">
        <f t="shared" si="2"/>
        <v/>
      </c>
      <c r="H37" s="17"/>
      <c r="I37" s="17"/>
      <c r="J37" s="17"/>
      <c r="K37" s="18"/>
      <c r="L37" s="17"/>
    </row>
    <row r="38" spans="1:12" x14ac:dyDescent="0.3">
      <c r="A38" s="37" t="str">
        <f t="shared" si="0"/>
        <v/>
      </c>
      <c r="B38" s="17"/>
      <c r="C38" s="17"/>
      <c r="D38" s="17"/>
      <c r="E38" s="17"/>
      <c r="F38" s="37" t="str">
        <f t="shared" si="1"/>
        <v/>
      </c>
      <c r="G38" s="37" t="str">
        <f t="shared" si="2"/>
        <v/>
      </c>
      <c r="H38" s="17"/>
      <c r="I38" s="17"/>
      <c r="J38" s="17"/>
      <c r="K38" s="18"/>
      <c r="L38" s="17"/>
    </row>
    <row r="39" spans="1:12" x14ac:dyDescent="0.3">
      <c r="A39" s="34" t="str">
        <f t="shared" si="0"/>
        <v/>
      </c>
      <c r="B39" s="17"/>
      <c r="C39" s="17"/>
      <c r="D39" s="17"/>
      <c r="E39" s="17"/>
      <c r="F39" s="34" t="str">
        <f t="shared" si="1"/>
        <v/>
      </c>
      <c r="G39" s="34" t="str">
        <f t="shared" si="2"/>
        <v/>
      </c>
      <c r="H39" s="17"/>
      <c r="I39" s="17"/>
      <c r="J39" s="17"/>
      <c r="K39" s="18"/>
      <c r="L39" s="17"/>
    </row>
    <row r="40" spans="1:12" x14ac:dyDescent="0.3">
      <c r="A40" s="37" t="str">
        <f t="shared" si="0"/>
        <v/>
      </c>
      <c r="B40" s="17"/>
      <c r="C40" s="17"/>
      <c r="D40" s="17"/>
      <c r="E40" s="17"/>
      <c r="F40" s="37" t="str">
        <f t="shared" si="1"/>
        <v/>
      </c>
      <c r="G40" s="37" t="str">
        <f t="shared" si="2"/>
        <v/>
      </c>
      <c r="H40" s="17"/>
      <c r="I40" s="17"/>
      <c r="J40" s="17"/>
      <c r="K40" s="18"/>
      <c r="L40" s="17"/>
    </row>
    <row r="41" spans="1:12" x14ac:dyDescent="0.3">
      <c r="A41" s="34" t="str">
        <f t="shared" si="0"/>
        <v/>
      </c>
      <c r="B41" s="17"/>
      <c r="C41" s="17"/>
      <c r="D41" s="17"/>
      <c r="E41" s="17"/>
      <c r="F41" s="34" t="str">
        <f t="shared" si="1"/>
        <v/>
      </c>
      <c r="G41" s="34" t="str">
        <f t="shared" si="2"/>
        <v/>
      </c>
      <c r="H41" s="17"/>
      <c r="I41" s="17"/>
      <c r="J41" s="17"/>
      <c r="K41" s="18"/>
      <c r="L41" s="17"/>
    </row>
    <row r="42" spans="1:12" x14ac:dyDescent="0.3">
      <c r="A42" s="37" t="str">
        <f t="shared" si="0"/>
        <v/>
      </c>
      <c r="B42" s="17"/>
      <c r="C42" s="17"/>
      <c r="D42" s="17"/>
      <c r="E42" s="17"/>
      <c r="F42" s="37" t="str">
        <f t="shared" si="1"/>
        <v/>
      </c>
      <c r="G42" s="37" t="str">
        <f t="shared" si="2"/>
        <v/>
      </c>
      <c r="H42" s="17"/>
      <c r="I42" s="17"/>
      <c r="J42" s="17"/>
      <c r="K42" s="18"/>
      <c r="L42" s="17"/>
    </row>
    <row r="43" spans="1:12" x14ac:dyDescent="0.3">
      <c r="A43" s="34" t="str">
        <f t="shared" si="0"/>
        <v/>
      </c>
      <c r="B43" s="17"/>
      <c r="C43" s="17"/>
      <c r="D43" s="17"/>
      <c r="E43" s="17"/>
      <c r="F43" s="34" t="str">
        <f t="shared" si="1"/>
        <v/>
      </c>
      <c r="G43" s="34" t="str">
        <f t="shared" si="2"/>
        <v/>
      </c>
      <c r="H43" s="17"/>
      <c r="I43" s="17"/>
      <c r="J43" s="17"/>
      <c r="K43" s="18"/>
      <c r="L43" s="17"/>
    </row>
    <row r="44" spans="1:12" x14ac:dyDescent="0.3">
      <c r="A44" s="37" t="str">
        <f t="shared" si="0"/>
        <v/>
      </c>
      <c r="B44" s="17"/>
      <c r="C44" s="17"/>
      <c r="D44" s="17"/>
      <c r="E44" s="17"/>
      <c r="F44" s="37" t="str">
        <f t="shared" si="1"/>
        <v/>
      </c>
      <c r="G44" s="37" t="str">
        <f t="shared" si="2"/>
        <v/>
      </c>
      <c r="H44" s="17"/>
      <c r="I44" s="17"/>
      <c r="J44" s="17"/>
      <c r="K44" s="18"/>
      <c r="L44" s="17"/>
    </row>
    <row r="45" spans="1:12" x14ac:dyDescent="0.3">
      <c r="A45" s="34" t="str">
        <f t="shared" si="0"/>
        <v/>
      </c>
      <c r="B45" s="17"/>
      <c r="C45" s="17"/>
      <c r="D45" s="17"/>
      <c r="E45" s="17"/>
      <c r="F45" s="34" t="str">
        <f t="shared" si="1"/>
        <v/>
      </c>
      <c r="G45" s="34" t="str">
        <f t="shared" si="2"/>
        <v/>
      </c>
      <c r="H45" s="17"/>
      <c r="I45" s="17"/>
      <c r="J45" s="17"/>
      <c r="K45" s="18"/>
      <c r="L45" s="17"/>
    </row>
    <row r="46" spans="1:12" x14ac:dyDescent="0.3">
      <c r="A46" s="37" t="str">
        <f t="shared" si="0"/>
        <v/>
      </c>
      <c r="B46" s="17"/>
      <c r="C46" s="17"/>
      <c r="D46" s="17"/>
      <c r="E46" s="17"/>
      <c r="F46" s="37" t="str">
        <f t="shared" si="1"/>
        <v/>
      </c>
      <c r="G46" s="37" t="str">
        <f t="shared" si="2"/>
        <v/>
      </c>
      <c r="H46" s="17"/>
      <c r="I46" s="17"/>
      <c r="J46" s="17"/>
      <c r="K46" s="18"/>
      <c r="L46" s="17"/>
    </row>
    <row r="47" spans="1:12" x14ac:dyDescent="0.3">
      <c r="A47" s="34" t="str">
        <f t="shared" si="0"/>
        <v/>
      </c>
      <c r="B47" s="17"/>
      <c r="C47" s="17"/>
      <c r="D47" s="17"/>
      <c r="E47" s="17"/>
      <c r="F47" s="34" t="str">
        <f t="shared" si="1"/>
        <v/>
      </c>
      <c r="G47" s="34" t="str">
        <f t="shared" si="2"/>
        <v/>
      </c>
      <c r="H47" s="17"/>
      <c r="I47" s="17"/>
      <c r="J47" s="17"/>
      <c r="K47" s="18"/>
      <c r="L47" s="17"/>
    </row>
  </sheetData>
  <autoFilter ref="A6:L47" xr:uid="{00000000-0009-0000-0000-000006000000}"/>
  <mergeCells count="3">
    <mergeCell ref="A1:L1"/>
    <mergeCell ref="A2:L2"/>
    <mergeCell ref="A3:L3"/>
  </mergeCells>
  <conditionalFormatting sqref="G7:G47">
    <cfRule type="cellIs" dxfId="5" priority="2" operator="equal">
      <formula>"Crítico"</formula>
    </cfRule>
    <cfRule type="cellIs" dxfId="4" priority="3" operator="equal">
      <formula>"Alto"</formula>
    </cfRule>
    <cfRule type="cellIs" dxfId="3" priority="4" operator="equal">
      <formula>"Medio"</formula>
    </cfRule>
    <cfRule type="cellIs" dxfId="2" priority="5" operator="equal">
      <formula>"Bajo"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600-000000000000}">
          <x14:formula1>
            <xm:f>Listas!$C$7:$C$30</xm:f>
          </x14:formula1>
          <x14:formula2>
            <xm:f>0</xm:f>
          </x14:formula2>
          <xm:sqref>D7:E47</xm:sqref>
        </x14:dataValidation>
        <x14:dataValidation type="list" allowBlank="1" xr:uid="{00000000-0002-0000-0600-000001000000}">
          <x14:formula1>
            <xm:f>Listas!$H$7:$H$30</xm:f>
          </x14:formula1>
          <x14:formula2>
            <xm:f>0</xm:f>
          </x14:formula2>
          <xm:sqref>H7:H47</xm:sqref>
        </x14:dataValidation>
        <x14:dataValidation type="list" allowBlank="1" xr:uid="{00000000-0002-0000-0600-000002000000}">
          <x14:formula1>
            <xm:f>Listas!$E$7:$E$30</xm:f>
          </x14:formula1>
          <x14:formula2>
            <xm:f>0</xm:f>
          </x14:formula2>
          <xm:sqref>J7:J47</xm:sqref>
        </x14:dataValidation>
        <x14:dataValidation type="list" allowBlank="1" xr:uid="{00000000-0002-0000-0600-000003000000}">
          <x14:formula1>
            <xm:f>Listas!$G$7:$G$30</xm:f>
          </x14:formula1>
          <x14:formula2>
            <xm:f>0</xm:f>
          </x14:formula2>
          <xm:sqref>L7:L47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4150"/>
  </sheetPr>
  <dimension ref="A1:I32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3" width="24" customWidth="1"/>
    <col min="4" max="4" width="20" customWidth="1"/>
    <col min="5" max="6" width="11" customWidth="1"/>
    <col min="7" max="7" width="16" customWidth="1"/>
    <col min="8" max="8" width="30" customWidth="1"/>
    <col min="9" max="9" width="34" customWidth="1"/>
  </cols>
  <sheetData>
    <row r="1" spans="1:9" ht="25.5" customHeight="1" x14ac:dyDescent="0.3">
      <c r="A1" s="4" t="s">
        <v>173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3">
      <c r="A2" s="3" t="s">
        <v>174</v>
      </c>
      <c r="B2" s="3"/>
      <c r="C2" s="3"/>
      <c r="D2" s="3"/>
      <c r="E2" s="3"/>
      <c r="F2" s="3"/>
      <c r="G2" s="3"/>
      <c r="H2" s="3"/>
      <c r="I2" s="3"/>
    </row>
    <row r="3" spans="1:9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  <c r="I3" s="2"/>
    </row>
    <row r="4" spans="1:9" ht="7.5" customHeight="1" x14ac:dyDescent="0.3"/>
    <row r="6" spans="1:9" ht="30" customHeight="1" x14ac:dyDescent="0.3">
      <c r="A6" s="22" t="s">
        <v>147</v>
      </c>
      <c r="B6" s="22" t="s">
        <v>175</v>
      </c>
      <c r="C6" s="22" t="s">
        <v>176</v>
      </c>
      <c r="D6" s="22" t="s">
        <v>177</v>
      </c>
      <c r="E6" s="22" t="s">
        <v>178</v>
      </c>
      <c r="F6" s="22" t="s">
        <v>179</v>
      </c>
      <c r="G6" s="22" t="s">
        <v>180</v>
      </c>
      <c r="H6" s="22" t="s">
        <v>181</v>
      </c>
      <c r="I6" s="22" t="s">
        <v>182</v>
      </c>
    </row>
    <row r="7" spans="1:9" ht="22.8" x14ac:dyDescent="0.3">
      <c r="A7" s="34">
        <f t="shared" ref="A7:A32" si="0">IF($B7="","",ROW()-6)</f>
        <v>1</v>
      </c>
      <c r="B7" s="17" t="s">
        <v>12</v>
      </c>
      <c r="C7" s="17" t="s">
        <v>8</v>
      </c>
      <c r="D7" s="17" t="s">
        <v>11</v>
      </c>
      <c r="E7" s="17" t="s">
        <v>169</v>
      </c>
      <c r="F7" s="17" t="s">
        <v>169</v>
      </c>
      <c r="G7" s="34" t="str">
        <f t="shared" ref="G7:G32" si="1">IF(OR($B7="",$E7="",$F7=""),"",IF($E7="Alto",IF($F7="Alto","Gestionar de cerca","Mantener satisfecho"),IF($F7="Alto","Mantener informado","Monitorear")))</f>
        <v>Gestionar de cerca</v>
      </c>
      <c r="H7" s="20" t="str">
        <f t="shared" ref="H7:H32" si="2">IF($G7="","",IF($G7="Gestionar de cerca","Involucrar en decisiones y reportar semanalmente",IF($G7="Mantener satisfecho","Consultar antes de decidir; evitar sorpresas",IF($G7="Mantener informado","Enviar avances periódicos; aprovechar como aliado","Comunicación mínima; revisar si cambia su posición"))))</f>
        <v>Involucrar en decisiones y reportar semanalmente</v>
      </c>
      <c r="I7" s="17" t="s">
        <v>183</v>
      </c>
    </row>
    <row r="8" spans="1:9" x14ac:dyDescent="0.3">
      <c r="A8" s="37" t="str">
        <f t="shared" si="0"/>
        <v/>
      </c>
      <c r="B8" s="17"/>
      <c r="C8" s="17"/>
      <c r="D8" s="17"/>
      <c r="E8" s="17"/>
      <c r="F8" s="17"/>
      <c r="G8" s="37" t="str">
        <f t="shared" si="1"/>
        <v/>
      </c>
      <c r="H8" s="26" t="str">
        <f t="shared" si="2"/>
        <v/>
      </c>
      <c r="I8" s="17"/>
    </row>
    <row r="9" spans="1:9" x14ac:dyDescent="0.3">
      <c r="A9" s="34" t="str">
        <f t="shared" si="0"/>
        <v/>
      </c>
      <c r="B9" s="17"/>
      <c r="C9" s="17"/>
      <c r="D9" s="17"/>
      <c r="E9" s="17"/>
      <c r="F9" s="17"/>
      <c r="G9" s="34" t="str">
        <f t="shared" si="1"/>
        <v/>
      </c>
      <c r="H9" s="20" t="str">
        <f t="shared" si="2"/>
        <v/>
      </c>
      <c r="I9" s="17"/>
    </row>
    <row r="10" spans="1:9" x14ac:dyDescent="0.3">
      <c r="A10" s="37" t="str">
        <f t="shared" si="0"/>
        <v/>
      </c>
      <c r="B10" s="17"/>
      <c r="C10" s="17"/>
      <c r="D10" s="17"/>
      <c r="E10" s="17"/>
      <c r="F10" s="17"/>
      <c r="G10" s="37" t="str">
        <f t="shared" si="1"/>
        <v/>
      </c>
      <c r="H10" s="26" t="str">
        <f t="shared" si="2"/>
        <v/>
      </c>
      <c r="I10" s="17"/>
    </row>
    <row r="11" spans="1:9" x14ac:dyDescent="0.3">
      <c r="A11" s="34" t="str">
        <f t="shared" si="0"/>
        <v/>
      </c>
      <c r="B11" s="17"/>
      <c r="C11" s="17"/>
      <c r="D11" s="17"/>
      <c r="E11" s="17"/>
      <c r="F11" s="17"/>
      <c r="G11" s="34" t="str">
        <f t="shared" si="1"/>
        <v/>
      </c>
      <c r="H11" s="20" t="str">
        <f t="shared" si="2"/>
        <v/>
      </c>
      <c r="I11" s="17"/>
    </row>
    <row r="12" spans="1:9" x14ac:dyDescent="0.3">
      <c r="A12" s="37" t="str">
        <f t="shared" si="0"/>
        <v/>
      </c>
      <c r="B12" s="17"/>
      <c r="C12" s="17"/>
      <c r="D12" s="17"/>
      <c r="E12" s="17"/>
      <c r="F12" s="17"/>
      <c r="G12" s="37" t="str">
        <f t="shared" si="1"/>
        <v/>
      </c>
      <c r="H12" s="26" t="str">
        <f t="shared" si="2"/>
        <v/>
      </c>
      <c r="I12" s="17"/>
    </row>
    <row r="13" spans="1:9" x14ac:dyDescent="0.3">
      <c r="A13" s="34" t="str">
        <f t="shared" si="0"/>
        <v/>
      </c>
      <c r="B13" s="17"/>
      <c r="C13" s="17"/>
      <c r="D13" s="17"/>
      <c r="E13" s="17"/>
      <c r="F13" s="17"/>
      <c r="G13" s="34" t="str">
        <f t="shared" si="1"/>
        <v/>
      </c>
      <c r="H13" s="20" t="str">
        <f t="shared" si="2"/>
        <v/>
      </c>
      <c r="I13" s="17"/>
    </row>
    <row r="14" spans="1:9" x14ac:dyDescent="0.3">
      <c r="A14" s="37" t="str">
        <f t="shared" si="0"/>
        <v/>
      </c>
      <c r="B14" s="17"/>
      <c r="C14" s="17"/>
      <c r="D14" s="17"/>
      <c r="E14" s="17"/>
      <c r="F14" s="17"/>
      <c r="G14" s="37" t="str">
        <f t="shared" si="1"/>
        <v/>
      </c>
      <c r="H14" s="26" t="str">
        <f t="shared" si="2"/>
        <v/>
      </c>
      <c r="I14" s="17"/>
    </row>
    <row r="15" spans="1:9" x14ac:dyDescent="0.3">
      <c r="A15" s="34" t="str">
        <f t="shared" si="0"/>
        <v/>
      </c>
      <c r="B15" s="17"/>
      <c r="C15" s="17"/>
      <c r="D15" s="17"/>
      <c r="E15" s="17"/>
      <c r="F15" s="17"/>
      <c r="G15" s="34" t="str">
        <f t="shared" si="1"/>
        <v/>
      </c>
      <c r="H15" s="20" t="str">
        <f t="shared" si="2"/>
        <v/>
      </c>
      <c r="I15" s="17"/>
    </row>
    <row r="16" spans="1:9" x14ac:dyDescent="0.3">
      <c r="A16" s="37" t="str">
        <f t="shared" si="0"/>
        <v/>
      </c>
      <c r="B16" s="17"/>
      <c r="C16" s="17"/>
      <c r="D16" s="17"/>
      <c r="E16" s="17"/>
      <c r="F16" s="17"/>
      <c r="G16" s="37" t="str">
        <f t="shared" si="1"/>
        <v/>
      </c>
      <c r="H16" s="26" t="str">
        <f t="shared" si="2"/>
        <v/>
      </c>
      <c r="I16" s="17"/>
    </row>
    <row r="17" spans="1:9" x14ac:dyDescent="0.3">
      <c r="A17" s="34" t="str">
        <f t="shared" si="0"/>
        <v/>
      </c>
      <c r="B17" s="17"/>
      <c r="C17" s="17"/>
      <c r="D17" s="17"/>
      <c r="E17" s="17"/>
      <c r="F17" s="17"/>
      <c r="G17" s="34" t="str">
        <f t="shared" si="1"/>
        <v/>
      </c>
      <c r="H17" s="20" t="str">
        <f t="shared" si="2"/>
        <v/>
      </c>
      <c r="I17" s="17"/>
    </row>
    <row r="18" spans="1:9" x14ac:dyDescent="0.3">
      <c r="A18" s="37" t="str">
        <f t="shared" si="0"/>
        <v/>
      </c>
      <c r="B18" s="17"/>
      <c r="C18" s="17"/>
      <c r="D18" s="17"/>
      <c r="E18" s="17"/>
      <c r="F18" s="17"/>
      <c r="G18" s="37" t="str">
        <f t="shared" si="1"/>
        <v/>
      </c>
      <c r="H18" s="26" t="str">
        <f t="shared" si="2"/>
        <v/>
      </c>
      <c r="I18" s="17"/>
    </row>
    <row r="19" spans="1:9" x14ac:dyDescent="0.3">
      <c r="A19" s="34" t="str">
        <f t="shared" si="0"/>
        <v/>
      </c>
      <c r="B19" s="17"/>
      <c r="C19" s="17"/>
      <c r="D19" s="17"/>
      <c r="E19" s="17"/>
      <c r="F19" s="17"/>
      <c r="G19" s="34" t="str">
        <f t="shared" si="1"/>
        <v/>
      </c>
      <c r="H19" s="20" t="str">
        <f t="shared" si="2"/>
        <v/>
      </c>
      <c r="I19" s="17"/>
    </row>
    <row r="20" spans="1:9" x14ac:dyDescent="0.3">
      <c r="A20" s="37" t="str">
        <f t="shared" si="0"/>
        <v/>
      </c>
      <c r="B20" s="17"/>
      <c r="C20" s="17"/>
      <c r="D20" s="17"/>
      <c r="E20" s="17"/>
      <c r="F20" s="17"/>
      <c r="G20" s="37" t="str">
        <f t="shared" si="1"/>
        <v/>
      </c>
      <c r="H20" s="26" t="str">
        <f t="shared" si="2"/>
        <v/>
      </c>
      <c r="I20" s="17"/>
    </row>
    <row r="21" spans="1:9" x14ac:dyDescent="0.3">
      <c r="A21" s="34" t="str">
        <f t="shared" si="0"/>
        <v/>
      </c>
      <c r="B21" s="17"/>
      <c r="C21" s="17"/>
      <c r="D21" s="17"/>
      <c r="E21" s="17"/>
      <c r="F21" s="17"/>
      <c r="G21" s="34" t="str">
        <f t="shared" si="1"/>
        <v/>
      </c>
      <c r="H21" s="20" t="str">
        <f t="shared" si="2"/>
        <v/>
      </c>
      <c r="I21" s="17"/>
    </row>
    <row r="22" spans="1:9" x14ac:dyDescent="0.3">
      <c r="A22" s="37" t="str">
        <f t="shared" si="0"/>
        <v/>
      </c>
      <c r="B22" s="17"/>
      <c r="C22" s="17"/>
      <c r="D22" s="17"/>
      <c r="E22" s="17"/>
      <c r="F22" s="17"/>
      <c r="G22" s="37" t="str">
        <f t="shared" si="1"/>
        <v/>
      </c>
      <c r="H22" s="26" t="str">
        <f t="shared" si="2"/>
        <v/>
      </c>
      <c r="I22" s="17"/>
    </row>
    <row r="23" spans="1:9" x14ac:dyDescent="0.3">
      <c r="A23" s="34" t="str">
        <f t="shared" si="0"/>
        <v/>
      </c>
      <c r="B23" s="17"/>
      <c r="C23" s="17"/>
      <c r="D23" s="17"/>
      <c r="E23" s="17"/>
      <c r="F23" s="17"/>
      <c r="G23" s="34" t="str">
        <f t="shared" si="1"/>
        <v/>
      </c>
      <c r="H23" s="20" t="str">
        <f t="shared" si="2"/>
        <v/>
      </c>
      <c r="I23" s="17"/>
    </row>
    <row r="24" spans="1:9" x14ac:dyDescent="0.3">
      <c r="A24" s="37" t="str">
        <f t="shared" si="0"/>
        <v/>
      </c>
      <c r="B24" s="17"/>
      <c r="C24" s="17"/>
      <c r="D24" s="17"/>
      <c r="E24" s="17"/>
      <c r="F24" s="17"/>
      <c r="G24" s="37" t="str">
        <f t="shared" si="1"/>
        <v/>
      </c>
      <c r="H24" s="26" t="str">
        <f t="shared" si="2"/>
        <v/>
      </c>
      <c r="I24" s="17"/>
    </row>
    <row r="25" spans="1:9" x14ac:dyDescent="0.3">
      <c r="A25" s="34" t="str">
        <f t="shared" si="0"/>
        <v/>
      </c>
      <c r="B25" s="17"/>
      <c r="C25" s="17"/>
      <c r="D25" s="17"/>
      <c r="E25" s="17"/>
      <c r="F25" s="17"/>
      <c r="G25" s="34" t="str">
        <f t="shared" si="1"/>
        <v/>
      </c>
      <c r="H25" s="20" t="str">
        <f t="shared" si="2"/>
        <v/>
      </c>
      <c r="I25" s="17"/>
    </row>
    <row r="26" spans="1:9" x14ac:dyDescent="0.3">
      <c r="A26" s="37" t="str">
        <f t="shared" si="0"/>
        <v/>
      </c>
      <c r="B26" s="17"/>
      <c r="C26" s="17"/>
      <c r="D26" s="17"/>
      <c r="E26" s="17"/>
      <c r="F26" s="17"/>
      <c r="G26" s="37" t="str">
        <f t="shared" si="1"/>
        <v/>
      </c>
      <c r="H26" s="26" t="str">
        <f t="shared" si="2"/>
        <v/>
      </c>
      <c r="I26" s="17"/>
    </row>
    <row r="27" spans="1:9" x14ac:dyDescent="0.3">
      <c r="A27" s="34" t="str">
        <f t="shared" si="0"/>
        <v/>
      </c>
      <c r="B27" s="17"/>
      <c r="C27" s="17"/>
      <c r="D27" s="17"/>
      <c r="E27" s="17"/>
      <c r="F27" s="17"/>
      <c r="G27" s="34" t="str">
        <f t="shared" si="1"/>
        <v/>
      </c>
      <c r="H27" s="20" t="str">
        <f t="shared" si="2"/>
        <v/>
      </c>
      <c r="I27" s="17"/>
    </row>
    <row r="28" spans="1:9" x14ac:dyDescent="0.3">
      <c r="A28" s="37" t="str">
        <f t="shared" si="0"/>
        <v/>
      </c>
      <c r="B28" s="17"/>
      <c r="C28" s="17"/>
      <c r="D28" s="17"/>
      <c r="E28" s="17"/>
      <c r="F28" s="17"/>
      <c r="G28" s="37" t="str">
        <f t="shared" si="1"/>
        <v/>
      </c>
      <c r="H28" s="26" t="str">
        <f t="shared" si="2"/>
        <v/>
      </c>
      <c r="I28" s="17"/>
    </row>
    <row r="29" spans="1:9" x14ac:dyDescent="0.3">
      <c r="A29" s="34" t="str">
        <f t="shared" si="0"/>
        <v/>
      </c>
      <c r="B29" s="17"/>
      <c r="C29" s="17"/>
      <c r="D29" s="17"/>
      <c r="E29" s="17"/>
      <c r="F29" s="17"/>
      <c r="G29" s="34" t="str">
        <f t="shared" si="1"/>
        <v/>
      </c>
      <c r="H29" s="20" t="str">
        <f t="shared" si="2"/>
        <v/>
      </c>
      <c r="I29" s="17"/>
    </row>
    <row r="30" spans="1:9" x14ac:dyDescent="0.3">
      <c r="A30" s="37" t="str">
        <f t="shared" si="0"/>
        <v/>
      </c>
      <c r="B30" s="17"/>
      <c r="C30" s="17"/>
      <c r="D30" s="17"/>
      <c r="E30" s="17"/>
      <c r="F30" s="17"/>
      <c r="G30" s="37" t="str">
        <f t="shared" si="1"/>
        <v/>
      </c>
      <c r="H30" s="26" t="str">
        <f t="shared" si="2"/>
        <v/>
      </c>
      <c r="I30" s="17"/>
    </row>
    <row r="31" spans="1:9" x14ac:dyDescent="0.3">
      <c r="A31" s="34" t="str">
        <f t="shared" si="0"/>
        <v/>
      </c>
      <c r="B31" s="17"/>
      <c r="C31" s="17"/>
      <c r="D31" s="17"/>
      <c r="E31" s="17"/>
      <c r="F31" s="17"/>
      <c r="G31" s="34" t="str">
        <f t="shared" si="1"/>
        <v/>
      </c>
      <c r="H31" s="20" t="str">
        <f t="shared" si="2"/>
        <v/>
      </c>
      <c r="I31" s="17"/>
    </row>
    <row r="32" spans="1:9" x14ac:dyDescent="0.3">
      <c r="A32" s="37" t="str">
        <f t="shared" si="0"/>
        <v/>
      </c>
      <c r="B32" s="17"/>
      <c r="C32" s="17"/>
      <c r="D32" s="17"/>
      <c r="E32" s="17"/>
      <c r="F32" s="17"/>
      <c r="G32" s="37" t="str">
        <f t="shared" si="1"/>
        <v/>
      </c>
      <c r="H32" s="26" t="str">
        <f t="shared" si="2"/>
        <v/>
      </c>
      <c r="I32" s="17"/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Listas!$C$7:$C$30</xm:f>
          </x14:formula1>
          <x14:formula2>
            <xm:f>0</xm:f>
          </x14:formula2>
          <xm:sqref>E7:F32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4150"/>
  </sheetPr>
  <dimension ref="A1:I45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2" width="38" customWidth="1"/>
    <col min="3" max="4" width="18" customWidth="1"/>
    <col min="5" max="7" width="16" customWidth="1"/>
    <col min="8" max="8" width="15" customWidth="1"/>
    <col min="9" max="9" width="13" customWidth="1"/>
  </cols>
  <sheetData>
    <row r="1" spans="1:9" ht="25.5" customHeight="1" x14ac:dyDescent="0.3">
      <c r="A1" s="4" t="s">
        <v>184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3">
      <c r="A2" s="3" t="s">
        <v>185</v>
      </c>
      <c r="B2" s="3"/>
      <c r="C2" s="3"/>
      <c r="D2" s="3"/>
      <c r="E2" s="3"/>
      <c r="F2" s="3"/>
      <c r="G2" s="3"/>
      <c r="H2" s="3"/>
      <c r="I2" s="3"/>
    </row>
    <row r="3" spans="1:9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  <c r="I3" s="2"/>
    </row>
    <row r="4" spans="1:9" ht="7.5" customHeight="1" x14ac:dyDescent="0.3"/>
    <row r="6" spans="1:9" ht="30" customHeight="1" x14ac:dyDescent="0.3">
      <c r="A6" s="22" t="s">
        <v>147</v>
      </c>
      <c r="B6" s="22" t="s">
        <v>186</v>
      </c>
      <c r="C6" s="22" t="s">
        <v>76</v>
      </c>
      <c r="D6" s="22" t="s">
        <v>122</v>
      </c>
      <c r="E6" s="22" t="s">
        <v>187</v>
      </c>
      <c r="F6" s="22" t="s">
        <v>188</v>
      </c>
      <c r="G6" s="22" t="s">
        <v>189</v>
      </c>
      <c r="H6" s="22" t="s">
        <v>190</v>
      </c>
      <c r="I6" s="22" t="s">
        <v>191</v>
      </c>
    </row>
    <row r="7" spans="1:9" x14ac:dyDescent="0.3">
      <c r="A7" s="20">
        <f t="shared" ref="A7:A42" si="0">IF($B7="","",ROW()-6)</f>
        <v>1</v>
      </c>
      <c r="B7" s="17" t="s">
        <v>192</v>
      </c>
      <c r="C7" s="17" t="s">
        <v>84</v>
      </c>
      <c r="D7" s="17" t="s">
        <v>10</v>
      </c>
      <c r="E7" s="40">
        <v>480000</v>
      </c>
      <c r="F7" s="40">
        <v>120000</v>
      </c>
      <c r="G7" s="40">
        <v>0</v>
      </c>
      <c r="H7" s="25">
        <f t="shared" ref="H7:H42" si="1">IF($B7="","",$E7-$F7-$G7)</f>
        <v>360000</v>
      </c>
      <c r="I7" s="24">
        <f t="shared" ref="I7:I42" si="2">IF(OR($B7="",$E7=0,$E7=""),"",($F7+$G7)/$E7)</f>
        <v>0.25</v>
      </c>
    </row>
    <row r="8" spans="1:9" x14ac:dyDescent="0.3">
      <c r="A8" s="26" t="str">
        <f t="shared" si="0"/>
        <v/>
      </c>
      <c r="B8" s="17"/>
      <c r="C8" s="17"/>
      <c r="D8" s="17"/>
      <c r="E8" s="40"/>
      <c r="F8" s="40"/>
      <c r="G8" s="40"/>
      <c r="H8" s="29" t="str">
        <f t="shared" si="1"/>
        <v/>
      </c>
      <c r="I8" s="28" t="str">
        <f t="shared" si="2"/>
        <v/>
      </c>
    </row>
    <row r="9" spans="1:9" x14ac:dyDescent="0.3">
      <c r="A9" s="20" t="str">
        <f t="shared" si="0"/>
        <v/>
      </c>
      <c r="B9" s="17"/>
      <c r="C9" s="17"/>
      <c r="D9" s="17"/>
      <c r="E9" s="40"/>
      <c r="F9" s="40"/>
      <c r="G9" s="40"/>
      <c r="H9" s="25" t="str">
        <f t="shared" si="1"/>
        <v/>
      </c>
      <c r="I9" s="24" t="str">
        <f t="shared" si="2"/>
        <v/>
      </c>
    </row>
    <row r="10" spans="1:9" x14ac:dyDescent="0.3">
      <c r="A10" s="26" t="str">
        <f t="shared" si="0"/>
        <v/>
      </c>
      <c r="B10" s="17"/>
      <c r="C10" s="17"/>
      <c r="D10" s="17"/>
      <c r="E10" s="40"/>
      <c r="F10" s="40"/>
      <c r="G10" s="40"/>
      <c r="H10" s="29" t="str">
        <f t="shared" si="1"/>
        <v/>
      </c>
      <c r="I10" s="28" t="str">
        <f t="shared" si="2"/>
        <v/>
      </c>
    </row>
    <row r="11" spans="1:9" x14ac:dyDescent="0.3">
      <c r="A11" s="20" t="str">
        <f t="shared" si="0"/>
        <v/>
      </c>
      <c r="B11" s="17"/>
      <c r="C11" s="17"/>
      <c r="D11" s="17"/>
      <c r="E11" s="40"/>
      <c r="F11" s="40"/>
      <c r="G11" s="40"/>
      <c r="H11" s="25" t="str">
        <f t="shared" si="1"/>
        <v/>
      </c>
      <c r="I11" s="24" t="str">
        <f t="shared" si="2"/>
        <v/>
      </c>
    </row>
    <row r="12" spans="1:9" x14ac:dyDescent="0.3">
      <c r="A12" s="26" t="str">
        <f t="shared" si="0"/>
        <v/>
      </c>
      <c r="B12" s="17"/>
      <c r="C12" s="17"/>
      <c r="D12" s="17"/>
      <c r="E12" s="40"/>
      <c r="F12" s="40"/>
      <c r="G12" s="40"/>
      <c r="H12" s="29" t="str">
        <f t="shared" si="1"/>
        <v/>
      </c>
      <c r="I12" s="28" t="str">
        <f t="shared" si="2"/>
        <v/>
      </c>
    </row>
    <row r="13" spans="1:9" x14ac:dyDescent="0.3">
      <c r="A13" s="20" t="str">
        <f t="shared" si="0"/>
        <v/>
      </c>
      <c r="B13" s="17"/>
      <c r="C13" s="17"/>
      <c r="D13" s="17"/>
      <c r="E13" s="40"/>
      <c r="F13" s="40"/>
      <c r="G13" s="40"/>
      <c r="H13" s="25" t="str">
        <f t="shared" si="1"/>
        <v/>
      </c>
      <c r="I13" s="24" t="str">
        <f t="shared" si="2"/>
        <v/>
      </c>
    </row>
    <row r="14" spans="1:9" x14ac:dyDescent="0.3">
      <c r="A14" s="26" t="str">
        <f t="shared" si="0"/>
        <v/>
      </c>
      <c r="B14" s="17"/>
      <c r="C14" s="17"/>
      <c r="D14" s="17"/>
      <c r="E14" s="40"/>
      <c r="F14" s="40"/>
      <c r="G14" s="40"/>
      <c r="H14" s="29" t="str">
        <f t="shared" si="1"/>
        <v/>
      </c>
      <c r="I14" s="28" t="str">
        <f t="shared" si="2"/>
        <v/>
      </c>
    </row>
    <row r="15" spans="1:9" x14ac:dyDescent="0.3">
      <c r="A15" s="20" t="str">
        <f t="shared" si="0"/>
        <v/>
      </c>
      <c r="B15" s="17"/>
      <c r="C15" s="17"/>
      <c r="D15" s="17"/>
      <c r="E15" s="40"/>
      <c r="F15" s="40"/>
      <c r="G15" s="40"/>
      <c r="H15" s="25" t="str">
        <f t="shared" si="1"/>
        <v/>
      </c>
      <c r="I15" s="24" t="str">
        <f t="shared" si="2"/>
        <v/>
      </c>
    </row>
    <row r="16" spans="1:9" x14ac:dyDescent="0.3">
      <c r="A16" s="26" t="str">
        <f t="shared" si="0"/>
        <v/>
      </c>
      <c r="B16" s="17"/>
      <c r="C16" s="17"/>
      <c r="D16" s="17"/>
      <c r="E16" s="40"/>
      <c r="F16" s="40"/>
      <c r="G16" s="40"/>
      <c r="H16" s="29" t="str">
        <f t="shared" si="1"/>
        <v/>
      </c>
      <c r="I16" s="28" t="str">
        <f t="shared" si="2"/>
        <v/>
      </c>
    </row>
    <row r="17" spans="1:9" x14ac:dyDescent="0.3">
      <c r="A17" s="20" t="str">
        <f t="shared" si="0"/>
        <v/>
      </c>
      <c r="B17" s="17"/>
      <c r="C17" s="17"/>
      <c r="D17" s="17"/>
      <c r="E17" s="40"/>
      <c r="F17" s="40"/>
      <c r="G17" s="40"/>
      <c r="H17" s="25" t="str">
        <f t="shared" si="1"/>
        <v/>
      </c>
      <c r="I17" s="24" t="str">
        <f t="shared" si="2"/>
        <v/>
      </c>
    </row>
    <row r="18" spans="1:9" x14ac:dyDescent="0.3">
      <c r="A18" s="26" t="str">
        <f t="shared" si="0"/>
        <v/>
      </c>
      <c r="B18" s="17"/>
      <c r="C18" s="17"/>
      <c r="D18" s="17"/>
      <c r="E18" s="40"/>
      <c r="F18" s="40"/>
      <c r="G18" s="40"/>
      <c r="H18" s="29" t="str">
        <f t="shared" si="1"/>
        <v/>
      </c>
      <c r="I18" s="28" t="str">
        <f t="shared" si="2"/>
        <v/>
      </c>
    </row>
    <row r="19" spans="1:9" x14ac:dyDescent="0.3">
      <c r="A19" s="20" t="str">
        <f t="shared" si="0"/>
        <v/>
      </c>
      <c r="B19" s="17"/>
      <c r="C19" s="17"/>
      <c r="D19" s="17"/>
      <c r="E19" s="40"/>
      <c r="F19" s="40"/>
      <c r="G19" s="40"/>
      <c r="H19" s="25" t="str">
        <f t="shared" si="1"/>
        <v/>
      </c>
      <c r="I19" s="24" t="str">
        <f t="shared" si="2"/>
        <v/>
      </c>
    </row>
    <row r="20" spans="1:9" x14ac:dyDescent="0.3">
      <c r="A20" s="26" t="str">
        <f t="shared" si="0"/>
        <v/>
      </c>
      <c r="B20" s="17"/>
      <c r="C20" s="17"/>
      <c r="D20" s="17"/>
      <c r="E20" s="40"/>
      <c r="F20" s="40"/>
      <c r="G20" s="40"/>
      <c r="H20" s="29" t="str">
        <f t="shared" si="1"/>
        <v/>
      </c>
      <c r="I20" s="28" t="str">
        <f t="shared" si="2"/>
        <v/>
      </c>
    </row>
    <row r="21" spans="1:9" x14ac:dyDescent="0.3">
      <c r="A21" s="20" t="str">
        <f t="shared" si="0"/>
        <v/>
      </c>
      <c r="B21" s="17"/>
      <c r="C21" s="17"/>
      <c r="D21" s="17"/>
      <c r="E21" s="40"/>
      <c r="F21" s="40"/>
      <c r="G21" s="40"/>
      <c r="H21" s="25" t="str">
        <f t="shared" si="1"/>
        <v/>
      </c>
      <c r="I21" s="24" t="str">
        <f t="shared" si="2"/>
        <v/>
      </c>
    </row>
    <row r="22" spans="1:9" x14ac:dyDescent="0.3">
      <c r="A22" s="26" t="str">
        <f t="shared" si="0"/>
        <v/>
      </c>
      <c r="B22" s="17"/>
      <c r="C22" s="17"/>
      <c r="D22" s="17"/>
      <c r="E22" s="40"/>
      <c r="F22" s="40"/>
      <c r="G22" s="40"/>
      <c r="H22" s="29" t="str">
        <f t="shared" si="1"/>
        <v/>
      </c>
      <c r="I22" s="28" t="str">
        <f t="shared" si="2"/>
        <v/>
      </c>
    </row>
    <row r="23" spans="1:9" x14ac:dyDescent="0.3">
      <c r="A23" s="20" t="str">
        <f t="shared" si="0"/>
        <v/>
      </c>
      <c r="B23" s="17"/>
      <c r="C23" s="17"/>
      <c r="D23" s="17"/>
      <c r="E23" s="40"/>
      <c r="F23" s="40"/>
      <c r="G23" s="40"/>
      <c r="H23" s="25" t="str">
        <f t="shared" si="1"/>
        <v/>
      </c>
      <c r="I23" s="24" t="str">
        <f t="shared" si="2"/>
        <v/>
      </c>
    </row>
    <row r="24" spans="1:9" x14ac:dyDescent="0.3">
      <c r="A24" s="26" t="str">
        <f t="shared" si="0"/>
        <v/>
      </c>
      <c r="B24" s="17"/>
      <c r="C24" s="17"/>
      <c r="D24" s="17"/>
      <c r="E24" s="40"/>
      <c r="F24" s="40"/>
      <c r="G24" s="40"/>
      <c r="H24" s="29" t="str">
        <f t="shared" si="1"/>
        <v/>
      </c>
      <c r="I24" s="28" t="str">
        <f t="shared" si="2"/>
        <v/>
      </c>
    </row>
    <row r="25" spans="1:9" x14ac:dyDescent="0.3">
      <c r="A25" s="20" t="str">
        <f t="shared" si="0"/>
        <v/>
      </c>
      <c r="B25" s="17"/>
      <c r="C25" s="17"/>
      <c r="D25" s="17"/>
      <c r="E25" s="40"/>
      <c r="F25" s="40"/>
      <c r="G25" s="40"/>
      <c r="H25" s="25" t="str">
        <f t="shared" si="1"/>
        <v/>
      </c>
      <c r="I25" s="24" t="str">
        <f t="shared" si="2"/>
        <v/>
      </c>
    </row>
    <row r="26" spans="1:9" x14ac:dyDescent="0.3">
      <c r="A26" s="26" t="str">
        <f t="shared" si="0"/>
        <v/>
      </c>
      <c r="B26" s="17"/>
      <c r="C26" s="17"/>
      <c r="D26" s="17"/>
      <c r="E26" s="40"/>
      <c r="F26" s="40"/>
      <c r="G26" s="40"/>
      <c r="H26" s="29" t="str">
        <f t="shared" si="1"/>
        <v/>
      </c>
      <c r="I26" s="28" t="str">
        <f t="shared" si="2"/>
        <v/>
      </c>
    </row>
    <row r="27" spans="1:9" x14ac:dyDescent="0.3">
      <c r="A27" s="20" t="str">
        <f t="shared" si="0"/>
        <v/>
      </c>
      <c r="B27" s="17"/>
      <c r="C27" s="17"/>
      <c r="D27" s="17"/>
      <c r="E27" s="40"/>
      <c r="F27" s="40"/>
      <c r="G27" s="40"/>
      <c r="H27" s="25" t="str">
        <f t="shared" si="1"/>
        <v/>
      </c>
      <c r="I27" s="24" t="str">
        <f t="shared" si="2"/>
        <v/>
      </c>
    </row>
    <row r="28" spans="1:9" x14ac:dyDescent="0.3">
      <c r="A28" s="26" t="str">
        <f t="shared" si="0"/>
        <v/>
      </c>
      <c r="B28" s="17"/>
      <c r="C28" s="17"/>
      <c r="D28" s="17"/>
      <c r="E28" s="40"/>
      <c r="F28" s="40"/>
      <c r="G28" s="40"/>
      <c r="H28" s="29" t="str">
        <f t="shared" si="1"/>
        <v/>
      </c>
      <c r="I28" s="28" t="str">
        <f t="shared" si="2"/>
        <v/>
      </c>
    </row>
    <row r="29" spans="1:9" x14ac:dyDescent="0.3">
      <c r="A29" s="20" t="str">
        <f t="shared" si="0"/>
        <v/>
      </c>
      <c r="B29" s="17"/>
      <c r="C29" s="17"/>
      <c r="D29" s="17"/>
      <c r="E29" s="40"/>
      <c r="F29" s="40"/>
      <c r="G29" s="40"/>
      <c r="H29" s="25" t="str">
        <f t="shared" si="1"/>
        <v/>
      </c>
      <c r="I29" s="24" t="str">
        <f t="shared" si="2"/>
        <v/>
      </c>
    </row>
    <row r="30" spans="1:9" x14ac:dyDescent="0.3">
      <c r="A30" s="26" t="str">
        <f t="shared" si="0"/>
        <v/>
      </c>
      <c r="B30" s="17"/>
      <c r="C30" s="17"/>
      <c r="D30" s="17"/>
      <c r="E30" s="40"/>
      <c r="F30" s="40"/>
      <c r="G30" s="40"/>
      <c r="H30" s="29" t="str">
        <f t="shared" si="1"/>
        <v/>
      </c>
      <c r="I30" s="28" t="str">
        <f t="shared" si="2"/>
        <v/>
      </c>
    </row>
    <row r="31" spans="1:9" x14ac:dyDescent="0.3">
      <c r="A31" s="20" t="str">
        <f t="shared" si="0"/>
        <v/>
      </c>
      <c r="B31" s="17"/>
      <c r="C31" s="17"/>
      <c r="D31" s="17"/>
      <c r="E31" s="40"/>
      <c r="F31" s="40"/>
      <c r="G31" s="40"/>
      <c r="H31" s="25" t="str">
        <f t="shared" si="1"/>
        <v/>
      </c>
      <c r="I31" s="24" t="str">
        <f t="shared" si="2"/>
        <v/>
      </c>
    </row>
    <row r="32" spans="1:9" x14ac:dyDescent="0.3">
      <c r="A32" s="26" t="str">
        <f t="shared" si="0"/>
        <v/>
      </c>
      <c r="B32" s="17"/>
      <c r="C32" s="17"/>
      <c r="D32" s="17"/>
      <c r="E32" s="40"/>
      <c r="F32" s="40"/>
      <c r="G32" s="40"/>
      <c r="H32" s="29" t="str">
        <f t="shared" si="1"/>
        <v/>
      </c>
      <c r="I32" s="28" t="str">
        <f t="shared" si="2"/>
        <v/>
      </c>
    </row>
    <row r="33" spans="1:9" x14ac:dyDescent="0.3">
      <c r="A33" s="20" t="str">
        <f t="shared" si="0"/>
        <v/>
      </c>
      <c r="B33" s="17"/>
      <c r="C33" s="17"/>
      <c r="D33" s="17"/>
      <c r="E33" s="40"/>
      <c r="F33" s="40"/>
      <c r="G33" s="40"/>
      <c r="H33" s="25" t="str">
        <f t="shared" si="1"/>
        <v/>
      </c>
      <c r="I33" s="24" t="str">
        <f t="shared" si="2"/>
        <v/>
      </c>
    </row>
    <row r="34" spans="1:9" x14ac:dyDescent="0.3">
      <c r="A34" s="26" t="str">
        <f t="shared" si="0"/>
        <v/>
      </c>
      <c r="B34" s="17"/>
      <c r="C34" s="17"/>
      <c r="D34" s="17"/>
      <c r="E34" s="40"/>
      <c r="F34" s="40"/>
      <c r="G34" s="40"/>
      <c r="H34" s="29" t="str">
        <f t="shared" si="1"/>
        <v/>
      </c>
      <c r="I34" s="28" t="str">
        <f t="shared" si="2"/>
        <v/>
      </c>
    </row>
    <row r="35" spans="1:9" x14ac:dyDescent="0.3">
      <c r="A35" s="20" t="str">
        <f t="shared" si="0"/>
        <v/>
      </c>
      <c r="B35" s="17"/>
      <c r="C35" s="17"/>
      <c r="D35" s="17"/>
      <c r="E35" s="40"/>
      <c r="F35" s="40"/>
      <c r="G35" s="40"/>
      <c r="H35" s="25" t="str">
        <f t="shared" si="1"/>
        <v/>
      </c>
      <c r="I35" s="24" t="str">
        <f t="shared" si="2"/>
        <v/>
      </c>
    </row>
    <row r="36" spans="1:9" x14ac:dyDescent="0.3">
      <c r="A36" s="26" t="str">
        <f t="shared" si="0"/>
        <v/>
      </c>
      <c r="B36" s="17"/>
      <c r="C36" s="17"/>
      <c r="D36" s="17"/>
      <c r="E36" s="40"/>
      <c r="F36" s="40"/>
      <c r="G36" s="40"/>
      <c r="H36" s="29" t="str">
        <f t="shared" si="1"/>
        <v/>
      </c>
      <c r="I36" s="28" t="str">
        <f t="shared" si="2"/>
        <v/>
      </c>
    </row>
    <row r="37" spans="1:9" x14ac:dyDescent="0.3">
      <c r="A37" s="20" t="str">
        <f t="shared" si="0"/>
        <v/>
      </c>
      <c r="B37" s="17"/>
      <c r="C37" s="17"/>
      <c r="D37" s="17"/>
      <c r="E37" s="40"/>
      <c r="F37" s="40"/>
      <c r="G37" s="40"/>
      <c r="H37" s="25" t="str">
        <f t="shared" si="1"/>
        <v/>
      </c>
      <c r="I37" s="24" t="str">
        <f t="shared" si="2"/>
        <v/>
      </c>
    </row>
    <row r="38" spans="1:9" x14ac:dyDescent="0.3">
      <c r="A38" s="26" t="str">
        <f t="shared" si="0"/>
        <v/>
      </c>
      <c r="B38" s="17"/>
      <c r="C38" s="17"/>
      <c r="D38" s="17"/>
      <c r="E38" s="40"/>
      <c r="F38" s="40"/>
      <c r="G38" s="40"/>
      <c r="H38" s="29" t="str">
        <f t="shared" si="1"/>
        <v/>
      </c>
      <c r="I38" s="28" t="str">
        <f t="shared" si="2"/>
        <v/>
      </c>
    </row>
    <row r="39" spans="1:9" x14ac:dyDescent="0.3">
      <c r="A39" s="20" t="str">
        <f t="shared" si="0"/>
        <v/>
      </c>
      <c r="B39" s="17"/>
      <c r="C39" s="17"/>
      <c r="D39" s="17"/>
      <c r="E39" s="40"/>
      <c r="F39" s="40"/>
      <c r="G39" s="40"/>
      <c r="H39" s="25" t="str">
        <f t="shared" si="1"/>
        <v/>
      </c>
      <c r="I39" s="24" t="str">
        <f t="shared" si="2"/>
        <v/>
      </c>
    </row>
    <row r="40" spans="1:9" x14ac:dyDescent="0.3">
      <c r="A40" s="26" t="str">
        <f t="shared" si="0"/>
        <v/>
      </c>
      <c r="B40" s="17"/>
      <c r="C40" s="17"/>
      <c r="D40" s="17"/>
      <c r="E40" s="40"/>
      <c r="F40" s="40"/>
      <c r="G40" s="40"/>
      <c r="H40" s="29" t="str">
        <f t="shared" si="1"/>
        <v/>
      </c>
      <c r="I40" s="28" t="str">
        <f t="shared" si="2"/>
        <v/>
      </c>
    </row>
    <row r="41" spans="1:9" x14ac:dyDescent="0.3">
      <c r="A41" s="20" t="str">
        <f t="shared" si="0"/>
        <v/>
      </c>
      <c r="B41" s="17"/>
      <c r="C41" s="17"/>
      <c r="D41" s="17"/>
      <c r="E41" s="40"/>
      <c r="F41" s="40"/>
      <c r="G41" s="40"/>
      <c r="H41" s="25" t="str">
        <f t="shared" si="1"/>
        <v/>
      </c>
      <c r="I41" s="24" t="str">
        <f t="shared" si="2"/>
        <v/>
      </c>
    </row>
    <row r="42" spans="1:9" x14ac:dyDescent="0.3">
      <c r="A42" s="26" t="str">
        <f t="shared" si="0"/>
        <v/>
      </c>
      <c r="B42" s="17"/>
      <c r="C42" s="17"/>
      <c r="D42" s="17"/>
      <c r="E42" s="40"/>
      <c r="F42" s="40"/>
      <c r="G42" s="40"/>
      <c r="H42" s="29" t="str">
        <f t="shared" si="1"/>
        <v/>
      </c>
      <c r="I42" s="28" t="str">
        <f t="shared" si="2"/>
        <v/>
      </c>
    </row>
    <row r="43" spans="1:9" x14ac:dyDescent="0.3">
      <c r="A43" s="41"/>
      <c r="B43" s="41"/>
      <c r="C43" s="41"/>
      <c r="D43" s="42" t="s">
        <v>193</v>
      </c>
      <c r="E43" s="43">
        <f>SUM(E7:E42)</f>
        <v>480000</v>
      </c>
      <c r="F43" s="43">
        <f>SUM(F7:F42)</f>
        <v>120000</v>
      </c>
      <c r="G43" s="43">
        <f>SUM(G7:G42)</f>
        <v>0</v>
      </c>
      <c r="H43" s="43">
        <f>SUM(H7:H42)</f>
        <v>360000</v>
      </c>
      <c r="I43" s="44">
        <f>IF($E43=0,"",($F43+$G43)/$E43)</f>
        <v>0.25</v>
      </c>
    </row>
    <row r="45" spans="1:9" x14ac:dyDescent="0.3">
      <c r="B45" s="45" t="s">
        <v>194</v>
      </c>
    </row>
  </sheetData>
  <mergeCells count="3">
    <mergeCell ref="A1:I1"/>
    <mergeCell ref="A2:I2"/>
    <mergeCell ref="A3:I3"/>
  </mergeCells>
  <conditionalFormatting sqref="H7:H42">
    <cfRule type="cellIs" dxfId="1" priority="2" operator="lessThan">
      <formula>0</formula>
    </cfRule>
  </conditionalFormatting>
  <conditionalFormatting sqref="I7:I42">
    <cfRule type="cellIs" dxfId="0" priority="3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800-000000000000}">
          <x14:formula1>
            <xm:f>Listas!$F$7:$F$30</xm:f>
          </x14:formula1>
          <x14:formula2>
            <xm:f>0</xm:f>
          </x14:formula2>
          <xm:sqref>C7:C42</xm:sqref>
        </x14:dataValidation>
        <x14:dataValidation type="list" allowBlank="1" xr:uid="{00000000-0002-0000-0800-000001000000}">
          <x14:formula1>
            <xm:f>Listas!$E$7:$E$30</xm:f>
          </x14:formula1>
          <x14:formula2>
            <xm:f>0</xm:f>
          </x14:formula2>
          <xm:sqref>D7:D42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4150"/>
  </sheetPr>
  <dimension ref="A1:H50"/>
  <sheetViews>
    <sheetView showGridLines="0" zoomScaleNormal="100" workbookViewId="0">
      <selection sqref="A1:H1"/>
    </sheetView>
  </sheetViews>
  <sheetFormatPr baseColWidth="10" defaultColWidth="8.6640625" defaultRowHeight="14.4" x14ac:dyDescent="0.3"/>
  <cols>
    <col min="1" max="1" width="5" customWidth="1"/>
    <col min="2" max="2" width="26" customWidth="1"/>
    <col min="3" max="3" width="24" customWidth="1"/>
    <col min="4" max="4" width="22" customWidth="1"/>
    <col min="5" max="5" width="26" customWidth="1"/>
    <col min="6" max="7" width="13" customWidth="1"/>
    <col min="8" max="8" width="22" customWidth="1"/>
  </cols>
  <sheetData>
    <row r="1" spans="1:8" ht="25.5" customHeight="1" x14ac:dyDescent="0.3">
      <c r="A1" s="4" t="s">
        <v>195</v>
      </c>
      <c r="B1" s="4"/>
      <c r="C1" s="4"/>
      <c r="D1" s="4"/>
      <c r="E1" s="4"/>
      <c r="F1" s="4"/>
      <c r="G1" s="4"/>
      <c r="H1" s="4"/>
    </row>
    <row r="2" spans="1:8" ht="15" customHeight="1" x14ac:dyDescent="0.3">
      <c r="A2" s="3" t="s">
        <v>196</v>
      </c>
      <c r="B2" s="3"/>
      <c r="C2" s="3"/>
      <c r="D2" s="3"/>
      <c r="E2" s="3"/>
      <c r="F2" s="3"/>
      <c r="G2" s="3"/>
      <c r="H2" s="3"/>
    </row>
    <row r="3" spans="1:8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</row>
    <row r="4" spans="1:8" ht="7.5" customHeight="1" x14ac:dyDescent="0.3"/>
    <row r="6" spans="1:8" ht="30" customHeight="1" x14ac:dyDescent="0.3">
      <c r="A6" s="22" t="s">
        <v>147</v>
      </c>
      <c r="B6" s="22" t="s">
        <v>175</v>
      </c>
      <c r="C6" s="22" t="s">
        <v>197</v>
      </c>
      <c r="D6" s="22" t="s">
        <v>198</v>
      </c>
      <c r="E6" s="22" t="s">
        <v>199</v>
      </c>
      <c r="F6" s="22" t="s">
        <v>200</v>
      </c>
      <c r="G6" s="22" t="s">
        <v>201</v>
      </c>
      <c r="H6" s="22" t="s">
        <v>202</v>
      </c>
    </row>
    <row r="7" spans="1:8" x14ac:dyDescent="0.3">
      <c r="A7" s="46">
        <v>1</v>
      </c>
      <c r="B7" s="17" t="s">
        <v>10</v>
      </c>
      <c r="C7" s="17" t="s">
        <v>9</v>
      </c>
      <c r="D7" s="17" t="s">
        <v>203</v>
      </c>
      <c r="E7" s="17" t="s">
        <v>204</v>
      </c>
      <c r="F7" s="47">
        <v>850</v>
      </c>
      <c r="G7" s="31">
        <v>0.5</v>
      </c>
      <c r="H7" s="25">
        <f t="shared" ref="H7:H47" si="0">IF(OR($B7="",$F7=""),"",$F7*160*$G7)</f>
        <v>68000</v>
      </c>
    </row>
    <row r="8" spans="1:8" x14ac:dyDescent="0.3">
      <c r="A8" s="48">
        <v>2</v>
      </c>
      <c r="B8" s="17" t="s">
        <v>136</v>
      </c>
      <c r="C8" s="17" t="s">
        <v>205</v>
      </c>
      <c r="D8" s="17" t="s">
        <v>203</v>
      </c>
      <c r="E8" s="17"/>
      <c r="F8" s="47">
        <v>450</v>
      </c>
      <c r="G8" s="31">
        <v>1</v>
      </c>
      <c r="H8" s="29">
        <f t="shared" si="0"/>
        <v>72000</v>
      </c>
    </row>
    <row r="9" spans="1:8" x14ac:dyDescent="0.3">
      <c r="A9" s="46">
        <v>3</v>
      </c>
      <c r="B9" s="17"/>
      <c r="C9" s="17"/>
      <c r="D9" s="17"/>
      <c r="E9" s="17"/>
      <c r="F9" s="47"/>
      <c r="G9" s="31"/>
      <c r="H9" s="25" t="str">
        <f t="shared" si="0"/>
        <v/>
      </c>
    </row>
    <row r="10" spans="1:8" x14ac:dyDescent="0.3">
      <c r="A10" s="48">
        <v>4</v>
      </c>
      <c r="B10" s="17"/>
      <c r="C10" s="17"/>
      <c r="D10" s="17"/>
      <c r="E10" s="17"/>
      <c r="F10" s="47"/>
      <c r="G10" s="31"/>
      <c r="H10" s="29" t="str">
        <f t="shared" si="0"/>
        <v/>
      </c>
    </row>
    <row r="11" spans="1:8" x14ac:dyDescent="0.3">
      <c r="A11" s="46">
        <v>5</v>
      </c>
      <c r="B11" s="17"/>
      <c r="C11" s="17"/>
      <c r="D11" s="17"/>
      <c r="E11" s="17"/>
      <c r="F11" s="47"/>
      <c r="G11" s="31"/>
      <c r="H11" s="25" t="str">
        <f t="shared" si="0"/>
        <v/>
      </c>
    </row>
    <row r="12" spans="1:8" x14ac:dyDescent="0.3">
      <c r="A12" s="48">
        <v>6</v>
      </c>
      <c r="B12" s="17"/>
      <c r="C12" s="17"/>
      <c r="D12" s="17"/>
      <c r="E12" s="17"/>
      <c r="F12" s="47"/>
      <c r="G12" s="31"/>
      <c r="H12" s="29" t="str">
        <f t="shared" si="0"/>
        <v/>
      </c>
    </row>
    <row r="13" spans="1:8" x14ac:dyDescent="0.3">
      <c r="A13" s="46">
        <v>7</v>
      </c>
      <c r="B13" s="17"/>
      <c r="C13" s="17"/>
      <c r="D13" s="17"/>
      <c r="E13" s="17"/>
      <c r="F13" s="47"/>
      <c r="G13" s="31"/>
      <c r="H13" s="25" t="str">
        <f t="shared" si="0"/>
        <v/>
      </c>
    </row>
    <row r="14" spans="1:8" x14ac:dyDescent="0.3">
      <c r="A14" s="48">
        <v>8</v>
      </c>
      <c r="B14" s="17"/>
      <c r="C14" s="17"/>
      <c r="D14" s="17"/>
      <c r="E14" s="17"/>
      <c r="F14" s="47"/>
      <c r="G14" s="31"/>
      <c r="H14" s="29" t="str">
        <f t="shared" si="0"/>
        <v/>
      </c>
    </row>
    <row r="15" spans="1:8" x14ac:dyDescent="0.3">
      <c r="A15" s="46">
        <v>9</v>
      </c>
      <c r="B15" s="17"/>
      <c r="C15" s="17"/>
      <c r="D15" s="17"/>
      <c r="E15" s="17"/>
      <c r="F15" s="47"/>
      <c r="G15" s="31"/>
      <c r="H15" s="25" t="str">
        <f t="shared" si="0"/>
        <v/>
      </c>
    </row>
    <row r="16" spans="1:8" x14ac:dyDescent="0.3">
      <c r="A16" s="48">
        <v>10</v>
      </c>
      <c r="B16" s="17"/>
      <c r="C16" s="17"/>
      <c r="D16" s="17"/>
      <c r="E16" s="17"/>
      <c r="F16" s="47"/>
      <c r="G16" s="31"/>
      <c r="H16" s="29" t="str">
        <f t="shared" si="0"/>
        <v/>
      </c>
    </row>
    <row r="17" spans="1:8" x14ac:dyDescent="0.3">
      <c r="A17" s="46">
        <v>11</v>
      </c>
      <c r="B17" s="17"/>
      <c r="C17" s="17"/>
      <c r="D17" s="17"/>
      <c r="E17" s="17"/>
      <c r="F17" s="47"/>
      <c r="G17" s="31"/>
      <c r="H17" s="25" t="str">
        <f t="shared" si="0"/>
        <v/>
      </c>
    </row>
    <row r="18" spans="1:8" x14ac:dyDescent="0.3">
      <c r="A18" s="48">
        <v>12</v>
      </c>
      <c r="B18" s="17"/>
      <c r="C18" s="17"/>
      <c r="D18" s="17"/>
      <c r="E18" s="17"/>
      <c r="F18" s="47"/>
      <c r="G18" s="31"/>
      <c r="H18" s="29" t="str">
        <f t="shared" si="0"/>
        <v/>
      </c>
    </row>
    <row r="19" spans="1:8" x14ac:dyDescent="0.3">
      <c r="A19" s="46">
        <v>13</v>
      </c>
      <c r="B19" s="17"/>
      <c r="C19" s="17"/>
      <c r="D19" s="17"/>
      <c r="E19" s="17"/>
      <c r="F19" s="47"/>
      <c r="G19" s="31"/>
      <c r="H19" s="25" t="str">
        <f t="shared" si="0"/>
        <v/>
      </c>
    </row>
    <row r="20" spans="1:8" x14ac:dyDescent="0.3">
      <c r="A20" s="48">
        <v>14</v>
      </c>
      <c r="B20" s="17"/>
      <c r="C20" s="17"/>
      <c r="D20" s="17"/>
      <c r="E20" s="17"/>
      <c r="F20" s="47"/>
      <c r="G20" s="31"/>
      <c r="H20" s="29" t="str">
        <f t="shared" si="0"/>
        <v/>
      </c>
    </row>
    <row r="21" spans="1:8" x14ac:dyDescent="0.3">
      <c r="A21" s="46">
        <v>15</v>
      </c>
      <c r="B21" s="17"/>
      <c r="C21" s="17"/>
      <c r="D21" s="17"/>
      <c r="E21" s="17"/>
      <c r="F21" s="47"/>
      <c r="G21" s="31"/>
      <c r="H21" s="25" t="str">
        <f t="shared" si="0"/>
        <v/>
      </c>
    </row>
    <row r="22" spans="1:8" x14ac:dyDescent="0.3">
      <c r="A22" s="48">
        <v>16</v>
      </c>
      <c r="B22" s="17"/>
      <c r="C22" s="17"/>
      <c r="D22" s="17"/>
      <c r="E22" s="17"/>
      <c r="F22" s="47"/>
      <c r="G22" s="31"/>
      <c r="H22" s="29" t="str">
        <f t="shared" si="0"/>
        <v/>
      </c>
    </row>
    <row r="23" spans="1:8" x14ac:dyDescent="0.3">
      <c r="A23" s="46">
        <v>17</v>
      </c>
      <c r="B23" s="17"/>
      <c r="C23" s="17"/>
      <c r="D23" s="17"/>
      <c r="E23" s="17"/>
      <c r="F23" s="47"/>
      <c r="G23" s="31"/>
      <c r="H23" s="25" t="str">
        <f t="shared" si="0"/>
        <v/>
      </c>
    </row>
    <row r="24" spans="1:8" x14ac:dyDescent="0.3">
      <c r="A24" s="48">
        <v>18</v>
      </c>
      <c r="B24" s="17"/>
      <c r="C24" s="17"/>
      <c r="D24" s="17"/>
      <c r="E24" s="17"/>
      <c r="F24" s="47"/>
      <c r="G24" s="31"/>
      <c r="H24" s="29" t="str">
        <f t="shared" si="0"/>
        <v/>
      </c>
    </row>
    <row r="25" spans="1:8" x14ac:dyDescent="0.3">
      <c r="A25" s="46">
        <v>19</v>
      </c>
      <c r="B25" s="17"/>
      <c r="C25" s="17"/>
      <c r="D25" s="17"/>
      <c r="E25" s="17"/>
      <c r="F25" s="47"/>
      <c r="G25" s="31"/>
      <c r="H25" s="25" t="str">
        <f t="shared" si="0"/>
        <v/>
      </c>
    </row>
    <row r="26" spans="1:8" x14ac:dyDescent="0.3">
      <c r="A26" s="48">
        <v>20</v>
      </c>
      <c r="B26" s="17"/>
      <c r="C26" s="17"/>
      <c r="D26" s="17"/>
      <c r="E26" s="17"/>
      <c r="F26" s="47"/>
      <c r="G26" s="31"/>
      <c r="H26" s="29" t="str">
        <f t="shared" si="0"/>
        <v/>
      </c>
    </row>
    <row r="27" spans="1:8" x14ac:dyDescent="0.3">
      <c r="A27" s="46">
        <v>21</v>
      </c>
      <c r="B27" s="17"/>
      <c r="C27" s="17"/>
      <c r="D27" s="17"/>
      <c r="E27" s="17"/>
      <c r="F27" s="47"/>
      <c r="G27" s="31"/>
      <c r="H27" s="25" t="str">
        <f t="shared" si="0"/>
        <v/>
      </c>
    </row>
    <row r="28" spans="1:8" x14ac:dyDescent="0.3">
      <c r="A28" s="48">
        <v>22</v>
      </c>
      <c r="B28" s="17"/>
      <c r="C28" s="17"/>
      <c r="D28" s="17"/>
      <c r="E28" s="17"/>
      <c r="F28" s="47"/>
      <c r="G28" s="31"/>
      <c r="H28" s="29" t="str">
        <f t="shared" si="0"/>
        <v/>
      </c>
    </row>
    <row r="29" spans="1:8" x14ac:dyDescent="0.3">
      <c r="A29" s="46">
        <v>23</v>
      </c>
      <c r="B29" s="17"/>
      <c r="C29" s="17"/>
      <c r="D29" s="17"/>
      <c r="E29" s="17"/>
      <c r="F29" s="47"/>
      <c r="G29" s="31"/>
      <c r="H29" s="25" t="str">
        <f t="shared" si="0"/>
        <v/>
      </c>
    </row>
    <row r="30" spans="1:8" x14ac:dyDescent="0.3">
      <c r="A30" s="48">
        <v>24</v>
      </c>
      <c r="B30" s="17"/>
      <c r="C30" s="17"/>
      <c r="D30" s="17"/>
      <c r="E30" s="17"/>
      <c r="F30" s="47"/>
      <c r="G30" s="31"/>
      <c r="H30" s="29" t="str">
        <f t="shared" si="0"/>
        <v/>
      </c>
    </row>
    <row r="31" spans="1:8" x14ac:dyDescent="0.3">
      <c r="A31" s="46">
        <v>25</v>
      </c>
      <c r="B31" s="17"/>
      <c r="C31" s="17"/>
      <c r="D31" s="17"/>
      <c r="E31" s="17"/>
      <c r="F31" s="47"/>
      <c r="G31" s="31"/>
      <c r="H31" s="25" t="str">
        <f t="shared" si="0"/>
        <v/>
      </c>
    </row>
    <row r="32" spans="1:8" x14ac:dyDescent="0.3">
      <c r="A32" s="48">
        <v>26</v>
      </c>
      <c r="B32" s="17"/>
      <c r="C32" s="17"/>
      <c r="D32" s="17"/>
      <c r="E32" s="17"/>
      <c r="F32" s="47"/>
      <c r="G32" s="31"/>
      <c r="H32" s="29" t="str">
        <f t="shared" si="0"/>
        <v/>
      </c>
    </row>
    <row r="33" spans="1:8" x14ac:dyDescent="0.3">
      <c r="A33" s="46">
        <v>27</v>
      </c>
      <c r="B33" s="17"/>
      <c r="C33" s="17"/>
      <c r="D33" s="17"/>
      <c r="E33" s="17"/>
      <c r="F33" s="47"/>
      <c r="G33" s="31"/>
      <c r="H33" s="25" t="str">
        <f t="shared" si="0"/>
        <v/>
      </c>
    </row>
    <row r="34" spans="1:8" x14ac:dyDescent="0.3">
      <c r="A34" s="48">
        <v>28</v>
      </c>
      <c r="B34" s="17"/>
      <c r="C34" s="17"/>
      <c r="D34" s="17"/>
      <c r="E34" s="17"/>
      <c r="F34" s="47"/>
      <c r="G34" s="31"/>
      <c r="H34" s="29" t="str">
        <f t="shared" si="0"/>
        <v/>
      </c>
    </row>
    <row r="35" spans="1:8" x14ac:dyDescent="0.3">
      <c r="A35" s="46">
        <v>29</v>
      </c>
      <c r="B35" s="17"/>
      <c r="C35" s="17"/>
      <c r="D35" s="17"/>
      <c r="E35" s="17"/>
      <c r="F35" s="47"/>
      <c r="G35" s="31"/>
      <c r="H35" s="25" t="str">
        <f t="shared" si="0"/>
        <v/>
      </c>
    </row>
    <row r="36" spans="1:8" x14ac:dyDescent="0.3">
      <c r="A36" s="48">
        <v>30</v>
      </c>
      <c r="B36" s="17"/>
      <c r="C36" s="17"/>
      <c r="D36" s="17"/>
      <c r="E36" s="17"/>
      <c r="F36" s="47"/>
      <c r="G36" s="31"/>
      <c r="H36" s="29" t="str">
        <f t="shared" si="0"/>
        <v/>
      </c>
    </row>
    <row r="37" spans="1:8" x14ac:dyDescent="0.3">
      <c r="A37" s="46">
        <v>31</v>
      </c>
      <c r="B37" s="17"/>
      <c r="C37" s="17"/>
      <c r="D37" s="17"/>
      <c r="E37" s="17"/>
      <c r="F37" s="47"/>
      <c r="G37" s="31"/>
      <c r="H37" s="25" t="str">
        <f t="shared" si="0"/>
        <v/>
      </c>
    </row>
    <row r="38" spans="1:8" x14ac:dyDescent="0.3">
      <c r="A38" s="48">
        <v>32</v>
      </c>
      <c r="B38" s="17"/>
      <c r="C38" s="17"/>
      <c r="D38" s="17"/>
      <c r="E38" s="17"/>
      <c r="F38" s="47"/>
      <c r="G38" s="31"/>
      <c r="H38" s="29" t="str">
        <f t="shared" si="0"/>
        <v/>
      </c>
    </row>
    <row r="39" spans="1:8" x14ac:dyDescent="0.3">
      <c r="A39" s="46">
        <v>33</v>
      </c>
      <c r="B39" s="17"/>
      <c r="C39" s="17"/>
      <c r="D39" s="17"/>
      <c r="E39" s="17"/>
      <c r="F39" s="47"/>
      <c r="G39" s="31"/>
      <c r="H39" s="25" t="str">
        <f t="shared" si="0"/>
        <v/>
      </c>
    </row>
    <row r="40" spans="1:8" x14ac:dyDescent="0.3">
      <c r="A40" s="48">
        <v>34</v>
      </c>
      <c r="B40" s="17"/>
      <c r="C40" s="17"/>
      <c r="D40" s="17"/>
      <c r="E40" s="17"/>
      <c r="F40" s="47"/>
      <c r="G40" s="31"/>
      <c r="H40" s="29" t="str">
        <f t="shared" si="0"/>
        <v/>
      </c>
    </row>
    <row r="41" spans="1:8" x14ac:dyDescent="0.3">
      <c r="A41" s="46">
        <v>35</v>
      </c>
      <c r="B41" s="17"/>
      <c r="C41" s="17"/>
      <c r="D41" s="17"/>
      <c r="E41" s="17"/>
      <c r="F41" s="47"/>
      <c r="G41" s="31"/>
      <c r="H41" s="25" t="str">
        <f t="shared" si="0"/>
        <v/>
      </c>
    </row>
    <row r="42" spans="1:8" x14ac:dyDescent="0.3">
      <c r="A42" s="48">
        <v>36</v>
      </c>
      <c r="B42" s="17"/>
      <c r="C42" s="17"/>
      <c r="D42" s="17"/>
      <c r="E42" s="17"/>
      <c r="F42" s="47"/>
      <c r="G42" s="31"/>
      <c r="H42" s="29" t="str">
        <f t="shared" si="0"/>
        <v/>
      </c>
    </row>
    <row r="43" spans="1:8" x14ac:dyDescent="0.3">
      <c r="A43" s="46">
        <v>37</v>
      </c>
      <c r="B43" s="17"/>
      <c r="C43" s="17"/>
      <c r="D43" s="17"/>
      <c r="E43" s="17"/>
      <c r="F43" s="47"/>
      <c r="G43" s="31"/>
      <c r="H43" s="25" t="str">
        <f t="shared" si="0"/>
        <v/>
      </c>
    </row>
    <row r="44" spans="1:8" x14ac:dyDescent="0.3">
      <c r="A44" s="48">
        <v>38</v>
      </c>
      <c r="B44" s="17"/>
      <c r="C44" s="17"/>
      <c r="D44" s="17"/>
      <c r="E44" s="17"/>
      <c r="F44" s="47"/>
      <c r="G44" s="31"/>
      <c r="H44" s="29" t="str">
        <f t="shared" si="0"/>
        <v/>
      </c>
    </row>
    <row r="45" spans="1:8" x14ac:dyDescent="0.3">
      <c r="A45" s="46">
        <v>39</v>
      </c>
      <c r="B45" s="17"/>
      <c r="C45" s="17"/>
      <c r="D45" s="17"/>
      <c r="E45" s="17"/>
      <c r="F45" s="47"/>
      <c r="G45" s="31"/>
      <c r="H45" s="25" t="str">
        <f t="shared" si="0"/>
        <v/>
      </c>
    </row>
    <row r="46" spans="1:8" x14ac:dyDescent="0.3">
      <c r="A46" s="48">
        <v>40</v>
      </c>
      <c r="B46" s="17"/>
      <c r="C46" s="17"/>
      <c r="D46" s="17"/>
      <c r="E46" s="17"/>
      <c r="F46" s="47"/>
      <c r="G46" s="31"/>
      <c r="H46" s="29" t="str">
        <f t="shared" si="0"/>
        <v/>
      </c>
    </row>
    <row r="47" spans="1:8" x14ac:dyDescent="0.3">
      <c r="A47" s="46">
        <v>41</v>
      </c>
      <c r="B47" s="17"/>
      <c r="C47" s="17"/>
      <c r="D47" s="17"/>
      <c r="E47" s="17"/>
      <c r="F47" s="47"/>
      <c r="G47" s="31"/>
      <c r="H47" s="25" t="str">
        <f t="shared" si="0"/>
        <v/>
      </c>
    </row>
    <row r="49" spans="5:8" x14ac:dyDescent="0.3">
      <c r="E49" s="49" t="s">
        <v>206</v>
      </c>
      <c r="H49" s="43">
        <f>SUM(H7:H47)</f>
        <v>140000</v>
      </c>
    </row>
    <row r="50" spans="5:8" x14ac:dyDescent="0.3">
      <c r="E50" s="45" t="s">
        <v>207</v>
      </c>
    </row>
  </sheetData>
  <mergeCells count="3">
    <mergeCell ref="A1:H1"/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Listas!$E$7:$E$30</xm:f>
          </x14:formula1>
          <x14:formula2>
            <xm:f>0</xm:f>
          </x14:formula2>
          <xm:sqref>B7:B47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4150"/>
  </sheetPr>
  <dimension ref="A1:G37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2" width="13" customWidth="1"/>
    <col min="3" max="3" width="40" customWidth="1"/>
    <col min="4" max="4" width="44" customWidth="1"/>
    <col min="5" max="5" width="20" customWidth="1"/>
    <col min="6" max="6" width="24" customWidth="1"/>
    <col min="7" max="7" width="12" customWidth="1"/>
  </cols>
  <sheetData>
    <row r="1" spans="1:7" ht="25.5" customHeight="1" x14ac:dyDescent="0.3">
      <c r="A1" s="4" t="s">
        <v>208</v>
      </c>
      <c r="B1" s="4"/>
      <c r="C1" s="4"/>
      <c r="D1" s="4"/>
      <c r="E1" s="4"/>
      <c r="F1" s="4"/>
      <c r="G1" s="4"/>
    </row>
    <row r="2" spans="1:7" ht="15" customHeight="1" x14ac:dyDescent="0.3">
      <c r="A2" s="3" t="s">
        <v>209</v>
      </c>
      <c r="B2" s="3"/>
      <c r="C2" s="3"/>
      <c r="D2" s="3"/>
      <c r="E2" s="3"/>
      <c r="F2" s="3"/>
      <c r="G2" s="3"/>
    </row>
    <row r="3" spans="1:7" ht="12.75" customHeight="1" x14ac:dyDescent="0.3">
      <c r="A3" s="2" t="s">
        <v>3</v>
      </c>
      <c r="B3" s="2"/>
      <c r="C3" s="2"/>
      <c r="D3" s="2"/>
      <c r="E3" s="2"/>
      <c r="F3" s="2"/>
      <c r="G3" s="2"/>
    </row>
    <row r="4" spans="1:7" ht="7.5" customHeight="1" x14ac:dyDescent="0.3"/>
    <row r="6" spans="1:7" ht="30" customHeight="1" x14ac:dyDescent="0.3">
      <c r="A6" s="22" t="s">
        <v>147</v>
      </c>
      <c r="B6" s="22" t="s">
        <v>210</v>
      </c>
      <c r="C6" s="22" t="s">
        <v>211</v>
      </c>
      <c r="D6" s="22" t="s">
        <v>212</v>
      </c>
      <c r="E6" s="22" t="s">
        <v>213</v>
      </c>
      <c r="F6" s="22" t="s">
        <v>160</v>
      </c>
      <c r="G6" s="22" t="s">
        <v>214</v>
      </c>
    </row>
    <row r="7" spans="1:7" ht="22.8" x14ac:dyDescent="0.3">
      <c r="A7" s="34">
        <f t="shared" ref="A7:A37" si="0">IF($C7="","",ROW()-6)</f>
        <v>1</v>
      </c>
      <c r="B7" s="18">
        <v>46234</v>
      </c>
      <c r="C7" s="17" t="s">
        <v>215</v>
      </c>
      <c r="D7" s="17" t="s">
        <v>216</v>
      </c>
      <c r="E7" s="17" t="s">
        <v>10</v>
      </c>
      <c r="F7" s="17" t="s">
        <v>217</v>
      </c>
      <c r="G7" s="17" t="s">
        <v>218</v>
      </c>
    </row>
    <row r="8" spans="1:7" x14ac:dyDescent="0.3">
      <c r="A8" s="37" t="str">
        <f t="shared" si="0"/>
        <v/>
      </c>
      <c r="B8" s="18"/>
      <c r="C8" s="17"/>
      <c r="D8" s="17"/>
      <c r="E8" s="17"/>
      <c r="F8" s="17"/>
      <c r="G8" s="17"/>
    </row>
    <row r="9" spans="1:7" x14ac:dyDescent="0.3">
      <c r="A9" s="34" t="str">
        <f t="shared" si="0"/>
        <v/>
      </c>
      <c r="B9" s="18"/>
      <c r="C9" s="17"/>
      <c r="D9" s="17"/>
      <c r="E9" s="17"/>
      <c r="F9" s="17"/>
      <c r="G9" s="17"/>
    </row>
    <row r="10" spans="1:7" x14ac:dyDescent="0.3">
      <c r="A10" s="37" t="str">
        <f t="shared" si="0"/>
        <v/>
      </c>
      <c r="B10" s="18"/>
      <c r="C10" s="17"/>
      <c r="D10" s="17"/>
      <c r="E10" s="17"/>
      <c r="F10" s="17"/>
      <c r="G10" s="17"/>
    </row>
    <row r="11" spans="1:7" x14ac:dyDescent="0.3">
      <c r="A11" s="34" t="str">
        <f t="shared" si="0"/>
        <v/>
      </c>
      <c r="B11" s="18"/>
      <c r="C11" s="17"/>
      <c r="D11" s="17"/>
      <c r="E11" s="17"/>
      <c r="F11" s="17"/>
      <c r="G11" s="17"/>
    </row>
    <row r="12" spans="1:7" x14ac:dyDescent="0.3">
      <c r="A12" s="37" t="str">
        <f t="shared" si="0"/>
        <v/>
      </c>
      <c r="B12" s="18"/>
      <c r="C12" s="17"/>
      <c r="D12" s="17"/>
      <c r="E12" s="17"/>
      <c r="F12" s="17"/>
      <c r="G12" s="17"/>
    </row>
    <row r="13" spans="1:7" x14ac:dyDescent="0.3">
      <c r="A13" s="34" t="str">
        <f t="shared" si="0"/>
        <v/>
      </c>
      <c r="B13" s="18"/>
      <c r="C13" s="17"/>
      <c r="D13" s="17"/>
      <c r="E13" s="17"/>
      <c r="F13" s="17"/>
      <c r="G13" s="17"/>
    </row>
    <row r="14" spans="1:7" x14ac:dyDescent="0.3">
      <c r="A14" s="37" t="str">
        <f t="shared" si="0"/>
        <v/>
      </c>
      <c r="B14" s="18"/>
      <c r="C14" s="17"/>
      <c r="D14" s="17"/>
      <c r="E14" s="17"/>
      <c r="F14" s="17"/>
      <c r="G14" s="17"/>
    </row>
    <row r="15" spans="1:7" x14ac:dyDescent="0.3">
      <c r="A15" s="34" t="str">
        <f t="shared" si="0"/>
        <v/>
      </c>
      <c r="B15" s="18"/>
      <c r="C15" s="17"/>
      <c r="D15" s="17"/>
      <c r="E15" s="17"/>
      <c r="F15" s="17"/>
      <c r="G15" s="17"/>
    </row>
    <row r="16" spans="1:7" x14ac:dyDescent="0.3">
      <c r="A16" s="37" t="str">
        <f t="shared" si="0"/>
        <v/>
      </c>
      <c r="B16" s="18"/>
      <c r="C16" s="17"/>
      <c r="D16" s="17"/>
      <c r="E16" s="17"/>
      <c r="F16" s="17"/>
      <c r="G16" s="17"/>
    </row>
    <row r="17" spans="1:7" x14ac:dyDescent="0.3">
      <c r="A17" s="34" t="str">
        <f t="shared" si="0"/>
        <v/>
      </c>
      <c r="B17" s="18"/>
      <c r="C17" s="17"/>
      <c r="D17" s="17"/>
      <c r="E17" s="17"/>
      <c r="F17" s="17"/>
      <c r="G17" s="17"/>
    </row>
    <row r="18" spans="1:7" x14ac:dyDescent="0.3">
      <c r="A18" s="37" t="str">
        <f t="shared" si="0"/>
        <v/>
      </c>
      <c r="B18" s="18"/>
      <c r="C18" s="17"/>
      <c r="D18" s="17"/>
      <c r="E18" s="17"/>
      <c r="F18" s="17"/>
      <c r="G18" s="17"/>
    </row>
    <row r="19" spans="1:7" x14ac:dyDescent="0.3">
      <c r="A19" s="34" t="str">
        <f t="shared" si="0"/>
        <v/>
      </c>
      <c r="B19" s="18"/>
      <c r="C19" s="17"/>
      <c r="D19" s="17"/>
      <c r="E19" s="17"/>
      <c r="F19" s="17"/>
      <c r="G19" s="17"/>
    </row>
    <row r="20" spans="1:7" x14ac:dyDescent="0.3">
      <c r="A20" s="37" t="str">
        <f t="shared" si="0"/>
        <v/>
      </c>
      <c r="B20" s="18"/>
      <c r="C20" s="17"/>
      <c r="D20" s="17"/>
      <c r="E20" s="17"/>
      <c r="F20" s="17"/>
      <c r="G20" s="17"/>
    </row>
    <row r="21" spans="1:7" x14ac:dyDescent="0.3">
      <c r="A21" s="34" t="str">
        <f t="shared" si="0"/>
        <v/>
      </c>
      <c r="B21" s="18"/>
      <c r="C21" s="17"/>
      <c r="D21" s="17"/>
      <c r="E21" s="17"/>
      <c r="F21" s="17"/>
      <c r="G21" s="17"/>
    </row>
    <row r="22" spans="1:7" x14ac:dyDescent="0.3">
      <c r="A22" s="37" t="str">
        <f t="shared" si="0"/>
        <v/>
      </c>
      <c r="B22" s="18"/>
      <c r="C22" s="17"/>
      <c r="D22" s="17"/>
      <c r="E22" s="17"/>
      <c r="F22" s="17"/>
      <c r="G22" s="17"/>
    </row>
    <row r="23" spans="1:7" x14ac:dyDescent="0.3">
      <c r="A23" s="34" t="str">
        <f t="shared" si="0"/>
        <v/>
      </c>
      <c r="B23" s="18"/>
      <c r="C23" s="17"/>
      <c r="D23" s="17"/>
      <c r="E23" s="17"/>
      <c r="F23" s="17"/>
      <c r="G23" s="17"/>
    </row>
    <row r="24" spans="1:7" x14ac:dyDescent="0.3">
      <c r="A24" s="37" t="str">
        <f t="shared" si="0"/>
        <v/>
      </c>
      <c r="B24" s="18"/>
      <c r="C24" s="17"/>
      <c r="D24" s="17"/>
      <c r="E24" s="17"/>
      <c r="F24" s="17"/>
      <c r="G24" s="17"/>
    </row>
    <row r="25" spans="1:7" x14ac:dyDescent="0.3">
      <c r="A25" s="34" t="str">
        <f t="shared" si="0"/>
        <v/>
      </c>
      <c r="B25" s="18"/>
      <c r="C25" s="17"/>
      <c r="D25" s="17"/>
      <c r="E25" s="17"/>
      <c r="F25" s="17"/>
      <c r="G25" s="17"/>
    </row>
    <row r="26" spans="1:7" x14ac:dyDescent="0.3">
      <c r="A26" s="37" t="str">
        <f t="shared" si="0"/>
        <v/>
      </c>
      <c r="B26" s="18"/>
      <c r="C26" s="17"/>
      <c r="D26" s="17"/>
      <c r="E26" s="17"/>
      <c r="F26" s="17"/>
      <c r="G26" s="17"/>
    </row>
    <row r="27" spans="1:7" x14ac:dyDescent="0.3">
      <c r="A27" s="34" t="str">
        <f t="shared" si="0"/>
        <v/>
      </c>
      <c r="B27" s="18"/>
      <c r="C27" s="17"/>
      <c r="D27" s="17"/>
      <c r="E27" s="17"/>
      <c r="F27" s="17"/>
      <c r="G27" s="17"/>
    </row>
    <row r="28" spans="1:7" x14ac:dyDescent="0.3">
      <c r="A28" s="37" t="str">
        <f t="shared" si="0"/>
        <v/>
      </c>
      <c r="B28" s="18"/>
      <c r="C28" s="17"/>
      <c r="D28" s="17"/>
      <c r="E28" s="17"/>
      <c r="F28" s="17"/>
      <c r="G28" s="17"/>
    </row>
    <row r="29" spans="1:7" x14ac:dyDescent="0.3">
      <c r="A29" s="34" t="str">
        <f t="shared" si="0"/>
        <v/>
      </c>
      <c r="B29" s="18"/>
      <c r="C29" s="17"/>
      <c r="D29" s="17"/>
      <c r="E29" s="17"/>
      <c r="F29" s="17"/>
      <c r="G29" s="17"/>
    </row>
    <row r="30" spans="1:7" x14ac:dyDescent="0.3">
      <c r="A30" s="37" t="str">
        <f t="shared" si="0"/>
        <v/>
      </c>
      <c r="B30" s="18"/>
      <c r="C30" s="17"/>
      <c r="D30" s="17"/>
      <c r="E30" s="17"/>
      <c r="F30" s="17"/>
      <c r="G30" s="17"/>
    </row>
    <row r="31" spans="1:7" x14ac:dyDescent="0.3">
      <c r="A31" s="34" t="str">
        <f t="shared" si="0"/>
        <v/>
      </c>
      <c r="B31" s="18"/>
      <c r="C31" s="17"/>
      <c r="D31" s="17"/>
      <c r="E31" s="17"/>
      <c r="F31" s="17"/>
      <c r="G31" s="17"/>
    </row>
    <row r="32" spans="1:7" x14ac:dyDescent="0.3">
      <c r="A32" s="37" t="str">
        <f t="shared" si="0"/>
        <v/>
      </c>
      <c r="B32" s="18"/>
      <c r="C32" s="17"/>
      <c r="D32" s="17"/>
      <c r="E32" s="17"/>
      <c r="F32" s="17"/>
      <c r="G32" s="17"/>
    </row>
    <row r="33" spans="1:7" x14ac:dyDescent="0.3">
      <c r="A33" s="34" t="str">
        <f t="shared" si="0"/>
        <v/>
      </c>
      <c r="B33" s="18"/>
      <c r="C33" s="17"/>
      <c r="D33" s="17"/>
      <c r="E33" s="17"/>
      <c r="F33" s="17"/>
      <c r="G33" s="17"/>
    </row>
    <row r="34" spans="1:7" x14ac:dyDescent="0.3">
      <c r="A34" s="37" t="str">
        <f t="shared" si="0"/>
        <v/>
      </c>
      <c r="B34" s="18"/>
      <c r="C34" s="17"/>
      <c r="D34" s="17"/>
      <c r="E34" s="17"/>
      <c r="F34" s="17"/>
      <c r="G34" s="17"/>
    </row>
    <row r="35" spans="1:7" x14ac:dyDescent="0.3">
      <c r="A35" s="34" t="str">
        <f t="shared" si="0"/>
        <v/>
      </c>
      <c r="B35" s="18"/>
      <c r="C35" s="17"/>
      <c r="D35" s="17"/>
      <c r="E35" s="17"/>
      <c r="F35" s="17"/>
      <c r="G35" s="17"/>
    </row>
    <row r="36" spans="1:7" x14ac:dyDescent="0.3">
      <c r="A36" s="37" t="str">
        <f t="shared" si="0"/>
        <v/>
      </c>
      <c r="B36" s="18"/>
      <c r="C36" s="17"/>
      <c r="D36" s="17"/>
      <c r="E36" s="17"/>
      <c r="F36" s="17"/>
      <c r="G36" s="17"/>
    </row>
    <row r="37" spans="1:7" x14ac:dyDescent="0.3">
      <c r="A37" s="34" t="str">
        <f t="shared" si="0"/>
        <v/>
      </c>
      <c r="B37" s="18"/>
      <c r="C37" s="17"/>
      <c r="D37" s="17"/>
      <c r="E37" s="17"/>
      <c r="F37" s="17"/>
      <c r="G37" s="17"/>
    </row>
  </sheetData>
  <mergeCells count="3">
    <mergeCell ref="A1:G1"/>
    <mergeCell ref="A2:G2"/>
    <mergeCell ref="A3:G3"/>
  </mergeCells>
  <dataValidations count="1">
    <dataValidation type="list" allowBlank="1" sqref="G7:G37" xr:uid="{00000000-0002-0000-0A00-000000000000}">
      <formula1>"Sí,No,Costosa de revertir"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1000000}">
          <x14:formula1>
            <xm:f>Listas!$E$7:$E$30</xm:f>
          </x14:formula1>
          <x14:formula2>
            <xm:f>0</xm:f>
          </x14:formula2>
          <xm:sqref>E7:E37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4150"/>
  </sheetPr>
  <dimension ref="A1:I37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2" width="14" customWidth="1"/>
    <col min="3" max="3" width="38" customWidth="1"/>
    <col min="4" max="4" width="18" customWidth="1"/>
    <col min="5" max="5" width="12" customWidth="1"/>
    <col min="6" max="6" width="18" customWidth="1"/>
    <col min="7" max="7" width="40" customWidth="1"/>
    <col min="8" max="8" width="15" customWidth="1"/>
    <col min="9" max="9" width="12" customWidth="1"/>
  </cols>
  <sheetData>
    <row r="1" spans="1:9" ht="25.5" customHeight="1" x14ac:dyDescent="0.3">
      <c r="A1" s="4" t="s">
        <v>219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3">
      <c r="A2" s="3" t="s">
        <v>220</v>
      </c>
      <c r="B2" s="3"/>
      <c r="C2" s="3"/>
      <c r="D2" s="3"/>
      <c r="E2" s="3"/>
      <c r="F2" s="3"/>
      <c r="G2" s="3"/>
      <c r="H2" s="3"/>
      <c r="I2" s="3"/>
    </row>
    <row r="3" spans="1:9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  <c r="I3" s="2"/>
    </row>
    <row r="4" spans="1:9" ht="7.5" customHeight="1" x14ac:dyDescent="0.3"/>
    <row r="6" spans="1:9" ht="30" customHeight="1" x14ac:dyDescent="0.3">
      <c r="A6" s="22" t="s">
        <v>147</v>
      </c>
      <c r="B6" s="22" t="s">
        <v>221</v>
      </c>
      <c r="C6" s="22" t="s">
        <v>222</v>
      </c>
      <c r="D6" s="22" t="s">
        <v>223</v>
      </c>
      <c r="E6" s="22" t="s">
        <v>161</v>
      </c>
      <c r="F6" s="22" t="s">
        <v>122</v>
      </c>
      <c r="G6" s="22" t="s">
        <v>224</v>
      </c>
      <c r="H6" s="22" t="s">
        <v>152</v>
      </c>
      <c r="I6" s="22" t="s">
        <v>225</v>
      </c>
    </row>
    <row r="7" spans="1:9" ht="22.8" x14ac:dyDescent="0.3">
      <c r="A7" s="34">
        <f t="shared" ref="A7:A37" si="0">IF($C7="","",ROW()-6)</f>
        <v>1</v>
      </c>
      <c r="B7" s="18">
        <v>46234</v>
      </c>
      <c r="C7" s="17" t="s">
        <v>226</v>
      </c>
      <c r="D7" s="17" t="s">
        <v>227</v>
      </c>
      <c r="E7" s="17" t="s">
        <v>228</v>
      </c>
      <c r="F7" s="17" t="s">
        <v>136</v>
      </c>
      <c r="G7" s="17" t="s">
        <v>229</v>
      </c>
      <c r="H7" s="17" t="s">
        <v>230</v>
      </c>
      <c r="I7" s="34">
        <f t="shared" ref="I7:I37" ca="1" si="1">IF(OR($C7="",$B7=""),"",IF($H7="Resuelta","-",TODAY()-$B7))</f>
        <v>-1</v>
      </c>
    </row>
    <row r="8" spans="1:9" x14ac:dyDescent="0.3">
      <c r="A8" s="37" t="str">
        <f t="shared" si="0"/>
        <v/>
      </c>
      <c r="B8" s="18"/>
      <c r="C8" s="17"/>
      <c r="D8" s="17"/>
      <c r="E8" s="17"/>
      <c r="F8" s="17"/>
      <c r="G8" s="17"/>
      <c r="H8" s="17"/>
      <c r="I8" s="37" t="str">
        <f t="shared" ca="1" si="1"/>
        <v/>
      </c>
    </row>
    <row r="9" spans="1:9" x14ac:dyDescent="0.3">
      <c r="A9" s="34" t="str">
        <f t="shared" si="0"/>
        <v/>
      </c>
      <c r="B9" s="18"/>
      <c r="C9" s="17"/>
      <c r="D9" s="17"/>
      <c r="E9" s="17"/>
      <c r="F9" s="17"/>
      <c r="G9" s="17"/>
      <c r="H9" s="17"/>
      <c r="I9" s="34" t="str">
        <f t="shared" ca="1" si="1"/>
        <v/>
      </c>
    </row>
    <row r="10" spans="1:9" x14ac:dyDescent="0.3">
      <c r="A10" s="37" t="str">
        <f t="shared" si="0"/>
        <v/>
      </c>
      <c r="B10" s="18"/>
      <c r="C10" s="17"/>
      <c r="D10" s="17"/>
      <c r="E10" s="17"/>
      <c r="F10" s="17"/>
      <c r="G10" s="17"/>
      <c r="H10" s="17"/>
      <c r="I10" s="37" t="str">
        <f t="shared" ca="1" si="1"/>
        <v/>
      </c>
    </row>
    <row r="11" spans="1:9" x14ac:dyDescent="0.3">
      <c r="A11" s="34" t="str">
        <f t="shared" si="0"/>
        <v/>
      </c>
      <c r="B11" s="18"/>
      <c r="C11" s="17"/>
      <c r="D11" s="17"/>
      <c r="E11" s="17"/>
      <c r="F11" s="17"/>
      <c r="G11" s="17"/>
      <c r="H11" s="17"/>
      <c r="I11" s="34" t="str">
        <f t="shared" ca="1" si="1"/>
        <v/>
      </c>
    </row>
    <row r="12" spans="1:9" x14ac:dyDescent="0.3">
      <c r="A12" s="37" t="str">
        <f t="shared" si="0"/>
        <v/>
      </c>
      <c r="B12" s="18"/>
      <c r="C12" s="17"/>
      <c r="D12" s="17"/>
      <c r="E12" s="17"/>
      <c r="F12" s="17"/>
      <c r="G12" s="17"/>
      <c r="H12" s="17"/>
      <c r="I12" s="37" t="str">
        <f t="shared" ca="1" si="1"/>
        <v/>
      </c>
    </row>
    <row r="13" spans="1:9" x14ac:dyDescent="0.3">
      <c r="A13" s="34" t="str">
        <f t="shared" si="0"/>
        <v/>
      </c>
      <c r="B13" s="18"/>
      <c r="C13" s="17"/>
      <c r="D13" s="17"/>
      <c r="E13" s="17"/>
      <c r="F13" s="17"/>
      <c r="G13" s="17"/>
      <c r="H13" s="17"/>
      <c r="I13" s="34" t="str">
        <f t="shared" ca="1" si="1"/>
        <v/>
      </c>
    </row>
    <row r="14" spans="1:9" x14ac:dyDescent="0.3">
      <c r="A14" s="37" t="str">
        <f t="shared" si="0"/>
        <v/>
      </c>
      <c r="B14" s="18"/>
      <c r="C14" s="17"/>
      <c r="D14" s="17"/>
      <c r="E14" s="17"/>
      <c r="F14" s="17"/>
      <c r="G14" s="17"/>
      <c r="H14" s="17"/>
      <c r="I14" s="37" t="str">
        <f t="shared" ca="1" si="1"/>
        <v/>
      </c>
    </row>
    <row r="15" spans="1:9" x14ac:dyDescent="0.3">
      <c r="A15" s="34" t="str">
        <f t="shared" si="0"/>
        <v/>
      </c>
      <c r="B15" s="18"/>
      <c r="C15" s="17"/>
      <c r="D15" s="17"/>
      <c r="E15" s="17"/>
      <c r="F15" s="17"/>
      <c r="G15" s="17"/>
      <c r="H15" s="17"/>
      <c r="I15" s="34" t="str">
        <f t="shared" ca="1" si="1"/>
        <v/>
      </c>
    </row>
    <row r="16" spans="1:9" x14ac:dyDescent="0.3">
      <c r="A16" s="37" t="str">
        <f t="shared" si="0"/>
        <v/>
      </c>
      <c r="B16" s="18"/>
      <c r="C16" s="17"/>
      <c r="D16" s="17"/>
      <c r="E16" s="17"/>
      <c r="F16" s="17"/>
      <c r="G16" s="17"/>
      <c r="H16" s="17"/>
      <c r="I16" s="37" t="str">
        <f t="shared" ca="1" si="1"/>
        <v/>
      </c>
    </row>
    <row r="17" spans="1:9" x14ac:dyDescent="0.3">
      <c r="A17" s="34" t="str">
        <f t="shared" si="0"/>
        <v/>
      </c>
      <c r="B17" s="18"/>
      <c r="C17" s="17"/>
      <c r="D17" s="17"/>
      <c r="E17" s="17"/>
      <c r="F17" s="17"/>
      <c r="G17" s="17"/>
      <c r="H17" s="17"/>
      <c r="I17" s="34" t="str">
        <f t="shared" ca="1" si="1"/>
        <v/>
      </c>
    </row>
    <row r="18" spans="1:9" x14ac:dyDescent="0.3">
      <c r="A18" s="37" t="str">
        <f t="shared" si="0"/>
        <v/>
      </c>
      <c r="B18" s="18"/>
      <c r="C18" s="17"/>
      <c r="D18" s="17"/>
      <c r="E18" s="17"/>
      <c r="F18" s="17"/>
      <c r="G18" s="17"/>
      <c r="H18" s="17"/>
      <c r="I18" s="37" t="str">
        <f t="shared" ca="1" si="1"/>
        <v/>
      </c>
    </row>
    <row r="19" spans="1:9" x14ac:dyDescent="0.3">
      <c r="A19" s="34" t="str">
        <f t="shared" si="0"/>
        <v/>
      </c>
      <c r="B19" s="18"/>
      <c r="C19" s="17"/>
      <c r="D19" s="17"/>
      <c r="E19" s="17"/>
      <c r="F19" s="17"/>
      <c r="G19" s="17"/>
      <c r="H19" s="17"/>
      <c r="I19" s="34" t="str">
        <f t="shared" ca="1" si="1"/>
        <v/>
      </c>
    </row>
    <row r="20" spans="1:9" x14ac:dyDescent="0.3">
      <c r="A20" s="37" t="str">
        <f t="shared" si="0"/>
        <v/>
      </c>
      <c r="B20" s="18"/>
      <c r="C20" s="17"/>
      <c r="D20" s="17"/>
      <c r="E20" s="17"/>
      <c r="F20" s="17"/>
      <c r="G20" s="17"/>
      <c r="H20" s="17"/>
      <c r="I20" s="37" t="str">
        <f t="shared" ca="1" si="1"/>
        <v/>
      </c>
    </row>
    <row r="21" spans="1:9" x14ac:dyDescent="0.3">
      <c r="A21" s="34" t="str">
        <f t="shared" si="0"/>
        <v/>
      </c>
      <c r="B21" s="18"/>
      <c r="C21" s="17"/>
      <c r="D21" s="17"/>
      <c r="E21" s="17"/>
      <c r="F21" s="17"/>
      <c r="G21" s="17"/>
      <c r="H21" s="17"/>
      <c r="I21" s="34" t="str">
        <f t="shared" ca="1" si="1"/>
        <v/>
      </c>
    </row>
    <row r="22" spans="1:9" x14ac:dyDescent="0.3">
      <c r="A22" s="37" t="str">
        <f t="shared" si="0"/>
        <v/>
      </c>
      <c r="B22" s="18"/>
      <c r="C22" s="17"/>
      <c r="D22" s="17"/>
      <c r="E22" s="17"/>
      <c r="F22" s="17"/>
      <c r="G22" s="17"/>
      <c r="H22" s="17"/>
      <c r="I22" s="37" t="str">
        <f t="shared" ca="1" si="1"/>
        <v/>
      </c>
    </row>
    <row r="23" spans="1:9" x14ac:dyDescent="0.3">
      <c r="A23" s="34" t="str">
        <f t="shared" si="0"/>
        <v/>
      </c>
      <c r="B23" s="18"/>
      <c r="C23" s="17"/>
      <c r="D23" s="17"/>
      <c r="E23" s="17"/>
      <c r="F23" s="17"/>
      <c r="G23" s="17"/>
      <c r="H23" s="17"/>
      <c r="I23" s="34" t="str">
        <f t="shared" ca="1" si="1"/>
        <v/>
      </c>
    </row>
    <row r="24" spans="1:9" x14ac:dyDescent="0.3">
      <c r="A24" s="37" t="str">
        <f t="shared" si="0"/>
        <v/>
      </c>
      <c r="B24" s="18"/>
      <c r="C24" s="17"/>
      <c r="D24" s="17"/>
      <c r="E24" s="17"/>
      <c r="F24" s="17"/>
      <c r="G24" s="17"/>
      <c r="H24" s="17"/>
      <c r="I24" s="37" t="str">
        <f t="shared" ca="1" si="1"/>
        <v/>
      </c>
    </row>
    <row r="25" spans="1:9" x14ac:dyDescent="0.3">
      <c r="A25" s="34" t="str">
        <f t="shared" si="0"/>
        <v/>
      </c>
      <c r="B25" s="18"/>
      <c r="C25" s="17"/>
      <c r="D25" s="17"/>
      <c r="E25" s="17"/>
      <c r="F25" s="17"/>
      <c r="G25" s="17"/>
      <c r="H25" s="17"/>
      <c r="I25" s="34" t="str">
        <f t="shared" ca="1" si="1"/>
        <v/>
      </c>
    </row>
    <row r="26" spans="1:9" x14ac:dyDescent="0.3">
      <c r="A26" s="37" t="str">
        <f t="shared" si="0"/>
        <v/>
      </c>
      <c r="B26" s="18"/>
      <c r="C26" s="17"/>
      <c r="D26" s="17"/>
      <c r="E26" s="17"/>
      <c r="F26" s="17"/>
      <c r="G26" s="17"/>
      <c r="H26" s="17"/>
      <c r="I26" s="37" t="str">
        <f t="shared" ca="1" si="1"/>
        <v/>
      </c>
    </row>
    <row r="27" spans="1:9" x14ac:dyDescent="0.3">
      <c r="A27" s="34" t="str">
        <f t="shared" si="0"/>
        <v/>
      </c>
      <c r="B27" s="18"/>
      <c r="C27" s="17"/>
      <c r="D27" s="17"/>
      <c r="E27" s="17"/>
      <c r="F27" s="17"/>
      <c r="G27" s="17"/>
      <c r="H27" s="17"/>
      <c r="I27" s="34" t="str">
        <f t="shared" ca="1" si="1"/>
        <v/>
      </c>
    </row>
    <row r="28" spans="1:9" x14ac:dyDescent="0.3">
      <c r="A28" s="37" t="str">
        <f t="shared" si="0"/>
        <v/>
      </c>
      <c r="B28" s="18"/>
      <c r="C28" s="17"/>
      <c r="D28" s="17"/>
      <c r="E28" s="17"/>
      <c r="F28" s="17"/>
      <c r="G28" s="17"/>
      <c r="H28" s="17"/>
      <c r="I28" s="37" t="str">
        <f t="shared" ca="1" si="1"/>
        <v/>
      </c>
    </row>
    <row r="29" spans="1:9" x14ac:dyDescent="0.3">
      <c r="A29" s="34" t="str">
        <f t="shared" si="0"/>
        <v/>
      </c>
      <c r="B29" s="18"/>
      <c r="C29" s="17"/>
      <c r="D29" s="17"/>
      <c r="E29" s="17"/>
      <c r="F29" s="17"/>
      <c r="G29" s="17"/>
      <c r="H29" s="17"/>
      <c r="I29" s="34" t="str">
        <f t="shared" ca="1" si="1"/>
        <v/>
      </c>
    </row>
    <row r="30" spans="1:9" x14ac:dyDescent="0.3">
      <c r="A30" s="37" t="str">
        <f t="shared" si="0"/>
        <v/>
      </c>
      <c r="B30" s="18"/>
      <c r="C30" s="17"/>
      <c r="D30" s="17"/>
      <c r="E30" s="17"/>
      <c r="F30" s="17"/>
      <c r="G30" s="17"/>
      <c r="H30" s="17"/>
      <c r="I30" s="37" t="str">
        <f t="shared" ca="1" si="1"/>
        <v/>
      </c>
    </row>
    <row r="31" spans="1:9" x14ac:dyDescent="0.3">
      <c r="A31" s="34" t="str">
        <f t="shared" si="0"/>
        <v/>
      </c>
      <c r="B31" s="18"/>
      <c r="C31" s="17"/>
      <c r="D31" s="17"/>
      <c r="E31" s="17"/>
      <c r="F31" s="17"/>
      <c r="G31" s="17"/>
      <c r="H31" s="17"/>
      <c r="I31" s="34" t="str">
        <f t="shared" ca="1" si="1"/>
        <v/>
      </c>
    </row>
    <row r="32" spans="1:9" x14ac:dyDescent="0.3">
      <c r="A32" s="37" t="str">
        <f t="shared" si="0"/>
        <v/>
      </c>
      <c r="B32" s="18"/>
      <c r="C32" s="17"/>
      <c r="D32" s="17"/>
      <c r="E32" s="17"/>
      <c r="F32" s="17"/>
      <c r="G32" s="17"/>
      <c r="H32" s="17"/>
      <c r="I32" s="37" t="str">
        <f t="shared" ca="1" si="1"/>
        <v/>
      </c>
    </row>
    <row r="33" spans="1:9" x14ac:dyDescent="0.3">
      <c r="A33" s="34" t="str">
        <f t="shared" si="0"/>
        <v/>
      </c>
      <c r="B33" s="18"/>
      <c r="C33" s="17"/>
      <c r="D33" s="17"/>
      <c r="E33" s="17"/>
      <c r="F33" s="17"/>
      <c r="G33" s="17"/>
      <c r="H33" s="17"/>
      <c r="I33" s="34" t="str">
        <f t="shared" ca="1" si="1"/>
        <v/>
      </c>
    </row>
    <row r="34" spans="1:9" x14ac:dyDescent="0.3">
      <c r="A34" s="37" t="str">
        <f t="shared" si="0"/>
        <v/>
      </c>
      <c r="B34" s="18"/>
      <c r="C34" s="17"/>
      <c r="D34" s="17"/>
      <c r="E34" s="17"/>
      <c r="F34" s="17"/>
      <c r="G34" s="17"/>
      <c r="H34" s="17"/>
      <c r="I34" s="37" t="str">
        <f t="shared" ca="1" si="1"/>
        <v/>
      </c>
    </row>
    <row r="35" spans="1:9" x14ac:dyDescent="0.3">
      <c r="A35" s="34" t="str">
        <f t="shared" si="0"/>
        <v/>
      </c>
      <c r="B35" s="18"/>
      <c r="C35" s="17"/>
      <c r="D35" s="17"/>
      <c r="E35" s="17"/>
      <c r="F35" s="17"/>
      <c r="G35" s="17"/>
      <c r="H35" s="17"/>
      <c r="I35" s="34" t="str">
        <f t="shared" ca="1" si="1"/>
        <v/>
      </c>
    </row>
    <row r="36" spans="1:9" x14ac:dyDescent="0.3">
      <c r="A36" s="37" t="str">
        <f t="shared" si="0"/>
        <v/>
      </c>
      <c r="B36" s="18"/>
      <c r="C36" s="17"/>
      <c r="D36" s="17"/>
      <c r="E36" s="17"/>
      <c r="F36" s="17"/>
      <c r="G36" s="17"/>
      <c r="H36" s="17"/>
      <c r="I36" s="37" t="str">
        <f t="shared" ca="1" si="1"/>
        <v/>
      </c>
    </row>
    <row r="37" spans="1:9" x14ac:dyDescent="0.3">
      <c r="A37" s="34" t="str">
        <f t="shared" si="0"/>
        <v/>
      </c>
      <c r="B37" s="18"/>
      <c r="C37" s="17"/>
      <c r="D37" s="17"/>
      <c r="E37" s="17"/>
      <c r="F37" s="17"/>
      <c r="G37" s="17"/>
      <c r="H37" s="17"/>
      <c r="I37" s="34" t="str">
        <f t="shared" ca="1" si="1"/>
        <v/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B00-000000000000}">
          <x14:formula1>
            <xm:f>Listas!$C$7:$C$30</xm:f>
          </x14:formula1>
          <x14:formula2>
            <xm:f>0</xm:f>
          </x14:formula2>
          <xm:sqref>E7:E37</xm:sqref>
        </x14:dataValidation>
        <x14:dataValidation type="list" allowBlank="1" xr:uid="{00000000-0002-0000-0B00-000001000000}">
          <x14:formula1>
            <xm:f>Listas!$E$7:$E$30</xm:f>
          </x14:formula1>
          <x14:formula2>
            <xm:f>0</xm:f>
          </x14:formula2>
          <xm:sqref>F7:F37</xm:sqref>
        </x14:dataValidation>
        <x14:dataValidation type="list" allowBlank="1" xr:uid="{00000000-0002-0000-0B00-000002000000}">
          <x14:formula1>
            <xm:f>Listas!$I$7:$I$30</xm:f>
          </x14:formula1>
          <x14:formula2>
            <xm:f>0</xm:f>
          </x14:formula2>
          <xm:sqref>H7:H37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4150"/>
  </sheetPr>
  <dimension ref="A1:I13"/>
  <sheetViews>
    <sheetView showGridLines="0" zoomScaleNormal="100" workbookViewId="0">
      <selection sqref="A1:I1"/>
    </sheetView>
  </sheetViews>
  <sheetFormatPr baseColWidth="10" defaultColWidth="8.6640625" defaultRowHeight="14.4" x14ac:dyDescent="0.3"/>
  <cols>
    <col min="1" max="9" width="20" customWidth="1"/>
  </cols>
  <sheetData>
    <row r="1" spans="1:9" ht="25.5" customHeight="1" x14ac:dyDescent="0.3">
      <c r="A1" s="4" t="s">
        <v>231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3">
      <c r="A2" s="3" t="s">
        <v>232</v>
      </c>
      <c r="B2" s="3"/>
      <c r="C2" s="3"/>
      <c r="D2" s="3"/>
      <c r="E2" s="3"/>
      <c r="F2" s="3"/>
      <c r="G2" s="3"/>
      <c r="H2" s="3"/>
      <c r="I2" s="3"/>
    </row>
    <row r="3" spans="1:9" ht="12.75" customHeight="1" x14ac:dyDescent="0.3">
      <c r="A3" s="2" t="s">
        <v>3</v>
      </c>
      <c r="B3" s="2"/>
      <c r="C3" s="2"/>
      <c r="D3" s="2"/>
      <c r="E3" s="2"/>
      <c r="F3" s="2"/>
      <c r="G3" s="2"/>
      <c r="H3" s="2"/>
      <c r="I3" s="2"/>
    </row>
    <row r="4" spans="1:9" ht="7.5" customHeight="1" x14ac:dyDescent="0.3"/>
    <row r="5" spans="1:9" x14ac:dyDescent="0.3">
      <c r="A5" s="39" t="s">
        <v>233</v>
      </c>
    </row>
    <row r="6" spans="1:9" ht="24" customHeight="1" x14ac:dyDescent="0.3">
      <c r="A6" s="50" t="s">
        <v>234</v>
      </c>
      <c r="B6" s="50" t="s">
        <v>123</v>
      </c>
      <c r="C6" s="50" t="s">
        <v>162</v>
      </c>
      <c r="D6" s="50" t="s">
        <v>74</v>
      </c>
      <c r="E6" s="50" t="s">
        <v>122</v>
      </c>
      <c r="F6" s="50" t="s">
        <v>235</v>
      </c>
      <c r="G6" s="50" t="s">
        <v>236</v>
      </c>
      <c r="H6" s="50" t="s">
        <v>237</v>
      </c>
      <c r="I6" s="50" t="s">
        <v>238</v>
      </c>
    </row>
    <row r="7" spans="1:9" x14ac:dyDescent="0.3">
      <c r="A7" s="17" t="s">
        <v>79</v>
      </c>
      <c r="B7" s="17" t="s">
        <v>133</v>
      </c>
      <c r="C7" s="17" t="s">
        <v>169</v>
      </c>
      <c r="D7" s="17" t="s">
        <v>80</v>
      </c>
      <c r="E7" s="17" t="s">
        <v>10</v>
      </c>
      <c r="F7" s="17" t="s">
        <v>81</v>
      </c>
      <c r="G7" s="17" t="s">
        <v>172</v>
      </c>
      <c r="H7" s="17" t="s">
        <v>239</v>
      </c>
      <c r="I7" s="17" t="s">
        <v>240</v>
      </c>
    </row>
    <row r="8" spans="1:9" x14ac:dyDescent="0.3">
      <c r="A8" s="17" t="s">
        <v>82</v>
      </c>
      <c r="B8" s="17" t="s">
        <v>241</v>
      </c>
      <c r="C8" s="17" t="s">
        <v>228</v>
      </c>
      <c r="D8" s="17" t="s">
        <v>83</v>
      </c>
      <c r="E8" s="17" t="s">
        <v>136</v>
      </c>
      <c r="F8" s="17" t="s">
        <v>84</v>
      </c>
      <c r="G8" s="17" t="s">
        <v>242</v>
      </c>
      <c r="H8" s="17" t="s">
        <v>170</v>
      </c>
      <c r="I8" s="17" t="s">
        <v>230</v>
      </c>
    </row>
    <row r="9" spans="1:9" x14ac:dyDescent="0.3">
      <c r="A9" s="17" t="s">
        <v>85</v>
      </c>
      <c r="B9" s="17" t="s">
        <v>243</v>
      </c>
      <c r="C9" s="17" t="s">
        <v>244</v>
      </c>
      <c r="D9" s="17" t="s">
        <v>86</v>
      </c>
      <c r="E9" s="17" t="s">
        <v>245</v>
      </c>
      <c r="F9" s="17" t="s">
        <v>87</v>
      </c>
      <c r="G9" s="17" t="s">
        <v>246</v>
      </c>
      <c r="H9" s="17" t="s">
        <v>247</v>
      </c>
      <c r="I9" s="17" t="s">
        <v>248</v>
      </c>
    </row>
    <row r="10" spans="1:9" x14ac:dyDescent="0.3">
      <c r="A10" s="17" t="s">
        <v>88</v>
      </c>
      <c r="D10" s="17" t="s">
        <v>89</v>
      </c>
      <c r="E10" s="17" t="s">
        <v>249</v>
      </c>
      <c r="F10" s="17" t="s">
        <v>90</v>
      </c>
      <c r="G10" s="17" t="s">
        <v>250</v>
      </c>
      <c r="H10" s="17" t="s">
        <v>251</v>
      </c>
      <c r="I10" s="17" t="s">
        <v>252</v>
      </c>
    </row>
    <row r="11" spans="1:9" x14ac:dyDescent="0.3">
      <c r="A11" s="17" t="s">
        <v>91</v>
      </c>
      <c r="D11" s="17" t="s">
        <v>92</v>
      </c>
      <c r="E11" s="17" t="s">
        <v>253</v>
      </c>
      <c r="F11" s="17" t="s">
        <v>93</v>
      </c>
    </row>
    <row r="12" spans="1:9" x14ac:dyDescent="0.3">
      <c r="D12" s="17" t="s">
        <v>94</v>
      </c>
      <c r="E12" s="17" t="s">
        <v>254</v>
      </c>
      <c r="F12" s="17" t="s">
        <v>95</v>
      </c>
    </row>
    <row r="13" spans="1:9" x14ac:dyDescent="0.3">
      <c r="D13" s="17" t="s">
        <v>96</v>
      </c>
      <c r="F13" s="17" t="s">
        <v>97</v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Información de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Portada</vt:lpstr>
      <vt:lpstr>Dashboard</vt:lpstr>
      <vt:lpstr>Ficha del Proyecto</vt:lpstr>
      <vt:lpstr>Plan de Tareas</vt:lpstr>
      <vt:lpstr>Cronograma</vt:lpstr>
      <vt:lpstr>Hitos</vt:lpstr>
      <vt:lpstr>Riesgos</vt:lpstr>
      <vt:lpstr>Interesados</vt:lpstr>
      <vt:lpstr>Presupuesto</vt:lpstr>
      <vt:lpstr>Equipo</vt:lpstr>
      <vt:lpstr>Decisiones</vt:lpstr>
      <vt:lpstr>Incidencias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Gonzalez Siller Jesus Mario</cp:lastModifiedBy>
  <cp:revision>0</cp:revision>
  <dcterms:created xsi:type="dcterms:W3CDTF">2026-07-31T01:23:22Z</dcterms:created>
  <dcterms:modified xsi:type="dcterms:W3CDTF">2026-07-31T01:47:57Z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642da2-9212-4576-9c8f-4777cb6d5892_Enabled">
    <vt:lpwstr>true</vt:lpwstr>
  </property>
  <property fmtid="{D5CDD505-2E9C-101B-9397-08002B2CF9AE}" pid="3" name="MSIP_Label_ac642da2-9212-4576-9c8f-4777cb6d5892_SetDate">
    <vt:lpwstr>2026-07-31T01:47:57Z</vt:lpwstr>
  </property>
  <property fmtid="{D5CDD505-2E9C-101B-9397-08002B2CF9AE}" pid="4" name="MSIP_Label_ac642da2-9212-4576-9c8f-4777cb6d5892_Method">
    <vt:lpwstr>Standard</vt:lpwstr>
  </property>
  <property fmtid="{D5CDD505-2E9C-101B-9397-08002B2CF9AE}" pid="5" name="MSIP_Label_ac642da2-9212-4576-9c8f-4777cb6d5892_Name">
    <vt:lpwstr>FEMSA - Interna (Femsa Only)</vt:lpwstr>
  </property>
  <property fmtid="{D5CDD505-2E9C-101B-9397-08002B2CF9AE}" pid="6" name="MSIP_Label_ac642da2-9212-4576-9c8f-4777cb6d5892_SiteId">
    <vt:lpwstr>cd5a7a30-5f9a-410b-a037-86e1e17a4330</vt:lpwstr>
  </property>
  <property fmtid="{D5CDD505-2E9C-101B-9397-08002B2CF9AE}" pid="7" name="MSIP_Label_ac642da2-9212-4576-9c8f-4777cb6d5892_ActionId">
    <vt:lpwstr>46a7927b-0b0c-4296-b3e4-406b4d443429</vt:lpwstr>
  </property>
  <property fmtid="{D5CDD505-2E9C-101B-9397-08002B2CF9AE}" pid="8" name="MSIP_Label_ac642da2-9212-4576-9c8f-4777cb6d5892_ContentBits">
    <vt:lpwstr>2</vt:lpwstr>
  </property>
  <property fmtid="{D5CDD505-2E9C-101B-9397-08002B2CF9AE}" pid="9" name="MSIP_Label_ac642da2-9212-4576-9c8f-4777cb6d5892_Tag">
    <vt:lpwstr>10, 3, 0, 1</vt:lpwstr>
  </property>
</Properties>
</file>